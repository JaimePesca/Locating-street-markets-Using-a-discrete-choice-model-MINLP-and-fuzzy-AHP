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abanaedu-my.sharepoint.com/personal/jaimepesa_unisabana_edu_co/Documents/Desktop/Jaime Pesca/Maestría en Analítica Aplicada/1Asistencia Graduada/Facility Location Qualitative Criteria/Bosa/"/>
    </mc:Choice>
  </mc:AlternateContent>
  <xr:revisionPtr revIDLastSave="31" documentId="13_ncr:1_{C04163AF-E790-4481-8EC7-89CFEBD8FF8B}" xr6:coauthVersionLast="47" xr6:coauthVersionMax="47" xr10:uidLastSave="{412AB23F-E8C7-41C8-B2A0-FCFE3ECD4804}"/>
  <bookViews>
    <workbookView xWindow="-108" yWindow="-108" windowWidth="23256" windowHeight="12456" xr2:uid="{00000000-000D-0000-FFFF-FFFF00000000}"/>
  </bookViews>
  <sheets>
    <sheet name="Tabla parques" sheetId="1" r:id="rId1"/>
    <sheet name="Hoja1" sheetId="6" r:id="rId2"/>
    <sheet name="Factores" sheetId="2" r:id="rId3"/>
    <sheet name="Resumen " sheetId="5" r:id="rId4"/>
    <sheet name="Hoja3" sheetId="4" r:id="rId5"/>
  </sheets>
  <definedNames>
    <definedName name="_xlnm._FilterDatabase" localSheetId="3" hidden="1">'Resumen '!$B$2:$O$54</definedName>
    <definedName name="_xlnm._FilterDatabase" localSheetId="0" hidden="1">'Tabla parques'!$A$1:$AH$53</definedName>
    <definedName name="_Hlk72912004" localSheetId="2">Factores!$F$6</definedName>
    <definedName name="_Hlk72912511" localSheetId="2">Factores!$F$7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5" l="1"/>
  <c r="O52" i="5"/>
  <c r="O43" i="5"/>
  <c r="O38" i="5"/>
  <c r="O48" i="5"/>
  <c r="O42" i="5"/>
  <c r="O27" i="5"/>
  <c r="O6" i="5"/>
  <c r="O51" i="5"/>
  <c r="O35" i="5"/>
  <c r="O24" i="5"/>
  <c r="O46" i="5"/>
  <c r="O13" i="5"/>
  <c r="O10" i="5"/>
  <c r="O34" i="5"/>
  <c r="O5" i="5"/>
  <c r="O22" i="5"/>
  <c r="O15" i="5"/>
  <c r="O9" i="5"/>
  <c r="O25" i="5"/>
  <c r="O19" i="5"/>
  <c r="O8" i="5"/>
  <c r="O30" i="5"/>
  <c r="O4" i="5"/>
  <c r="O40" i="5"/>
  <c r="O41" i="5"/>
  <c r="O36" i="5"/>
  <c r="O20" i="5"/>
  <c r="O50" i="5"/>
  <c r="O11" i="5"/>
  <c r="O54" i="5"/>
  <c r="O39" i="5"/>
  <c r="O47" i="5"/>
  <c r="O44" i="5"/>
  <c r="O3" i="5"/>
  <c r="O28" i="5"/>
  <c r="O33" i="5"/>
  <c r="O49" i="5"/>
  <c r="O29" i="5"/>
  <c r="O26" i="5"/>
  <c r="O45" i="5"/>
  <c r="O37" i="5"/>
  <c r="O18" i="5"/>
  <c r="O21" i="5"/>
  <c r="O7" i="5"/>
  <c r="O17" i="5"/>
  <c r="O16" i="5"/>
  <c r="O32" i="5"/>
  <c r="O14" i="5"/>
  <c r="O53" i="5"/>
  <c r="O31" i="5"/>
  <c r="O12" i="5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15" i="1"/>
  <c r="L16" i="1"/>
  <c r="L17" i="1"/>
  <c r="L18" i="1"/>
  <c r="L11" i="1"/>
  <c r="L12" i="1"/>
  <c r="L13" i="1"/>
  <c r="L14" i="1"/>
  <c r="L6" i="1"/>
  <c r="L7" i="1"/>
  <c r="L8" i="1"/>
  <c r="L9" i="1"/>
  <c r="L10" i="1"/>
  <c r="L5" i="1"/>
  <c r="L3" i="1"/>
  <c r="L4" i="1"/>
  <c r="L2" i="1"/>
  <c r="K56" i="1"/>
  <c r="K55" i="1"/>
  <c r="C13" i="2"/>
  <c r="AE37" i="1"/>
  <c r="AE23" i="1"/>
  <c r="AE31" i="1"/>
  <c r="AE47" i="1"/>
  <c r="AE15" i="1"/>
  <c r="AE8" i="1"/>
  <c r="AE4" i="1"/>
  <c r="AE14" i="1"/>
  <c r="AE35" i="1"/>
  <c r="AE17" i="1"/>
  <c r="AE9" i="1"/>
  <c r="AE51" i="1"/>
  <c r="AE39" i="1"/>
  <c r="AE18" i="1"/>
  <c r="AE21" i="1"/>
  <c r="AE25" i="1"/>
  <c r="AE33" i="1"/>
  <c r="AE53" i="1"/>
  <c r="AE49" i="1"/>
  <c r="AE27" i="1"/>
  <c r="AE41" i="1"/>
  <c r="AE26" i="1"/>
  <c r="AE38" i="1"/>
  <c r="AE50" i="1"/>
  <c r="AE46" i="1"/>
  <c r="AE6" i="1"/>
  <c r="AE12" i="1"/>
  <c r="AE45" i="1"/>
  <c r="AE24" i="1"/>
  <c r="AE20" i="1"/>
  <c r="AE44" i="1"/>
  <c r="AE11" i="1"/>
  <c r="AE48" i="1"/>
  <c r="AE30" i="1"/>
  <c r="AE19" i="1"/>
  <c r="AE28" i="1"/>
  <c r="AE10" i="1"/>
  <c r="AE5" i="1"/>
  <c r="AE29" i="1"/>
  <c r="AE42" i="1"/>
  <c r="AE7" i="1"/>
  <c r="AE43" i="1"/>
  <c r="AE40" i="1"/>
  <c r="AE36" i="1"/>
  <c r="AE2" i="1"/>
  <c r="AE34" i="1"/>
  <c r="AE22" i="1"/>
  <c r="AE16" i="1"/>
  <c r="AE32" i="1"/>
  <c r="AE3" i="1"/>
  <c r="AE52" i="1"/>
  <c r="AE13" i="1"/>
  <c r="AC15" i="1"/>
  <c r="AC8" i="1"/>
  <c r="AC4" i="1"/>
  <c r="AC14" i="1"/>
  <c r="AC35" i="1"/>
  <c r="AC51" i="1"/>
  <c r="AC25" i="1"/>
  <c r="AC33" i="1"/>
  <c r="AC49" i="1"/>
  <c r="AC27" i="1"/>
  <c r="AC41" i="1"/>
  <c r="AC38" i="1"/>
  <c r="AC50" i="1"/>
  <c r="AC46" i="1"/>
  <c r="AC6" i="1"/>
  <c r="AC12" i="1"/>
  <c r="AC45" i="1"/>
  <c r="AC20" i="1"/>
  <c r="AC44" i="1"/>
  <c r="AC11" i="1"/>
  <c r="AC42" i="1"/>
  <c r="AC7" i="1"/>
  <c r="AC36" i="1"/>
  <c r="AC2" i="1"/>
  <c r="AC34" i="1"/>
  <c r="AC22" i="1"/>
  <c r="AC16" i="1"/>
  <c r="AC47" i="1"/>
  <c r="AC13" i="1"/>
  <c r="AA37" i="1"/>
  <c r="AC37" i="1" s="1"/>
  <c r="AA23" i="1"/>
  <c r="AC23" i="1" s="1"/>
  <c r="AA31" i="1"/>
  <c r="AC31" i="1" s="1"/>
  <c r="AA47" i="1"/>
  <c r="AA15" i="1"/>
  <c r="AA8" i="1"/>
  <c r="AA4" i="1"/>
  <c r="AA14" i="1"/>
  <c r="AA35" i="1"/>
  <c r="AA17" i="1"/>
  <c r="AC17" i="1" s="1"/>
  <c r="AA9" i="1"/>
  <c r="AC9" i="1" s="1"/>
  <c r="AA51" i="1"/>
  <c r="AA39" i="1"/>
  <c r="AC39" i="1" s="1"/>
  <c r="AA18" i="1"/>
  <c r="AC18" i="1" s="1"/>
  <c r="AA21" i="1"/>
  <c r="AC21" i="1" s="1"/>
  <c r="AA25" i="1"/>
  <c r="AA33" i="1"/>
  <c r="AA53" i="1"/>
  <c r="AC53" i="1" s="1"/>
  <c r="AA49" i="1"/>
  <c r="AA27" i="1"/>
  <c r="AA41" i="1"/>
  <c r="AA26" i="1"/>
  <c r="AC26" i="1" s="1"/>
  <c r="AA38" i="1"/>
  <c r="AA50" i="1"/>
  <c r="AA46" i="1"/>
  <c r="AA6" i="1"/>
  <c r="AA12" i="1"/>
  <c r="AA45" i="1"/>
  <c r="AA24" i="1"/>
  <c r="AC24" i="1" s="1"/>
  <c r="AA20" i="1"/>
  <c r="AA44" i="1"/>
  <c r="AA11" i="1"/>
  <c r="AA48" i="1"/>
  <c r="AC48" i="1" s="1"/>
  <c r="AA30" i="1"/>
  <c r="AC30" i="1" s="1"/>
  <c r="AA19" i="1"/>
  <c r="AC19" i="1" s="1"/>
  <c r="AA28" i="1"/>
  <c r="AC28" i="1" s="1"/>
  <c r="AA10" i="1"/>
  <c r="AC10" i="1" s="1"/>
  <c r="AA5" i="1"/>
  <c r="AC5" i="1" s="1"/>
  <c r="AA29" i="1"/>
  <c r="AC29" i="1" s="1"/>
  <c r="AA42" i="1"/>
  <c r="AA7" i="1"/>
  <c r="AA43" i="1"/>
  <c r="AC43" i="1" s="1"/>
  <c r="AA40" i="1"/>
  <c r="AC40" i="1" s="1"/>
  <c r="AA36" i="1"/>
  <c r="AA2" i="1"/>
  <c r="AA34" i="1"/>
  <c r="AA22" i="1"/>
  <c r="AA16" i="1"/>
  <c r="AA32" i="1"/>
  <c r="AC32" i="1" s="1"/>
  <c r="AA3" i="1"/>
  <c r="AC3" i="1" s="1"/>
  <c r="AA52" i="1"/>
  <c r="AC52" i="1" s="1"/>
  <c r="AA13" i="1"/>
  <c r="Y23" i="1"/>
  <c r="Y43" i="1"/>
  <c r="Y50" i="1"/>
  <c r="Y13" i="1"/>
  <c r="Y22" i="1"/>
  <c r="Y11" i="1"/>
  <c r="Y16" i="1"/>
  <c r="Y21" i="1"/>
  <c r="Y2" i="1"/>
  <c r="Y48" i="1"/>
  <c r="Y31" i="1"/>
  <c r="Y25" i="1"/>
  <c r="Y33" i="1"/>
  <c r="Y5" i="1"/>
  <c r="Y49" i="1"/>
  <c r="Y32" i="1"/>
  <c r="Y6" i="1"/>
  <c r="Y30" i="1"/>
  <c r="Y45" i="1"/>
  <c r="Y34" i="1"/>
  <c r="Y27" i="1"/>
  <c r="Y29" i="1"/>
  <c r="Y37" i="1"/>
  <c r="Y12" i="1"/>
  <c r="Y40" i="1"/>
  <c r="Y19" i="1"/>
  <c r="Y8" i="1"/>
  <c r="Y41" i="1"/>
  <c r="Y14" i="1"/>
  <c r="Y42" i="1"/>
  <c r="Y26" i="1"/>
  <c r="Y24" i="1"/>
  <c r="Y35" i="1"/>
  <c r="Y39" i="1"/>
  <c r="Y17" i="1"/>
  <c r="Y3" i="1"/>
  <c r="Y36" i="1"/>
  <c r="Y7" i="1"/>
  <c r="Y28" i="1"/>
  <c r="Y20" i="1"/>
  <c r="Y18" i="1"/>
  <c r="Y10" i="1"/>
  <c r="Y44" i="1"/>
  <c r="Y4" i="1"/>
  <c r="Y38" i="1"/>
  <c r="Y52" i="1"/>
  <c r="Y53" i="1"/>
  <c r="Y46" i="1"/>
  <c r="Y15" i="1"/>
  <c r="Y51" i="1"/>
  <c r="Y47" i="1"/>
  <c r="Y9" i="1"/>
  <c r="V51" i="1"/>
  <c r="V47" i="1"/>
  <c r="V53" i="1"/>
  <c r="V46" i="1"/>
  <c r="V15" i="1"/>
  <c r="V49" i="1"/>
  <c r="V32" i="1"/>
  <c r="V6" i="1"/>
  <c r="V30" i="1"/>
  <c r="V45" i="1"/>
  <c r="V34" i="1"/>
  <c r="V27" i="1"/>
  <c r="V29" i="1"/>
  <c r="V37" i="1"/>
  <c r="V12" i="1"/>
  <c r="V40" i="1"/>
  <c r="V19" i="1"/>
  <c r="V8" i="1"/>
  <c r="V41" i="1"/>
  <c r="V14" i="1"/>
  <c r="V42" i="1"/>
  <c r="V26" i="1"/>
  <c r="V24" i="1"/>
  <c r="V35" i="1"/>
  <c r="V39" i="1"/>
  <c r="V17" i="1"/>
  <c r="V3" i="1"/>
  <c r="V36" i="1"/>
  <c r="V7" i="1"/>
  <c r="V28" i="1"/>
  <c r="V20" i="1"/>
  <c r="V18" i="1"/>
  <c r="V10" i="1"/>
  <c r="V44" i="1"/>
  <c r="V4" i="1"/>
  <c r="V38" i="1"/>
  <c r="V52" i="1"/>
  <c r="V23" i="1"/>
  <c r="V43" i="1"/>
  <c r="V50" i="1"/>
  <c r="V13" i="1"/>
  <c r="V22" i="1"/>
  <c r="V11" i="1"/>
  <c r="V16" i="1"/>
  <c r="V21" i="1"/>
  <c r="V2" i="1"/>
  <c r="V48" i="1"/>
  <c r="V31" i="1"/>
  <c r="V25" i="1"/>
  <c r="V33" i="1"/>
  <c r="V5" i="1"/>
  <c r="V9" i="1"/>
  <c r="T51" i="1"/>
  <c r="T47" i="1"/>
  <c r="T53" i="1"/>
  <c r="T46" i="1"/>
  <c r="T15" i="1"/>
  <c r="T49" i="1"/>
  <c r="T32" i="1"/>
  <c r="T6" i="1"/>
  <c r="T30" i="1"/>
  <c r="T45" i="1"/>
  <c r="T34" i="1"/>
  <c r="T27" i="1"/>
  <c r="T29" i="1"/>
  <c r="T37" i="1"/>
  <c r="T12" i="1"/>
  <c r="T40" i="1"/>
  <c r="T19" i="1"/>
  <c r="T8" i="1"/>
  <c r="T41" i="1"/>
  <c r="T14" i="1"/>
  <c r="T42" i="1"/>
  <c r="T26" i="1"/>
  <c r="T24" i="1"/>
  <c r="T35" i="1"/>
  <c r="T39" i="1"/>
  <c r="T17" i="1"/>
  <c r="T3" i="1"/>
  <c r="T36" i="1"/>
  <c r="T7" i="1"/>
  <c r="T28" i="1"/>
  <c r="T20" i="1"/>
  <c r="T18" i="1"/>
  <c r="T10" i="1"/>
  <c r="T44" i="1"/>
  <c r="T4" i="1"/>
  <c r="T38" i="1"/>
  <c r="T52" i="1"/>
  <c r="T23" i="1"/>
  <c r="T43" i="1"/>
  <c r="T50" i="1"/>
  <c r="T13" i="1"/>
  <c r="T22" i="1"/>
  <c r="T11" i="1"/>
  <c r="T16" i="1"/>
  <c r="T21" i="1"/>
  <c r="T2" i="1"/>
  <c r="T48" i="1"/>
  <c r="T31" i="1"/>
  <c r="T25" i="1"/>
  <c r="T33" i="1"/>
  <c r="T5" i="1"/>
  <c r="T9" i="1"/>
  <c r="R9" i="1"/>
  <c r="R51" i="1"/>
  <c r="R47" i="1"/>
  <c r="R53" i="1"/>
  <c r="R46" i="1"/>
  <c r="R15" i="1"/>
  <c r="R49" i="1"/>
  <c r="R32" i="1"/>
  <c r="R6" i="1"/>
  <c r="R30" i="1"/>
  <c r="R45" i="1"/>
  <c r="R34" i="1"/>
  <c r="R27" i="1"/>
  <c r="R29" i="1"/>
  <c r="R37" i="1"/>
  <c r="R12" i="1"/>
  <c r="R40" i="1"/>
  <c r="R19" i="1"/>
  <c r="R8" i="1"/>
  <c r="R41" i="1"/>
  <c r="R14" i="1"/>
  <c r="R42" i="1"/>
  <c r="R26" i="1"/>
  <c r="R24" i="1"/>
  <c r="R35" i="1"/>
  <c r="R39" i="1"/>
  <c r="R17" i="1"/>
  <c r="R3" i="1"/>
  <c r="R36" i="1"/>
  <c r="R7" i="1"/>
  <c r="R28" i="1"/>
  <c r="R20" i="1"/>
  <c r="R18" i="1"/>
  <c r="R10" i="1"/>
  <c r="R44" i="1"/>
  <c r="R4" i="1"/>
  <c r="R38" i="1"/>
  <c r="R52" i="1"/>
  <c r="R23" i="1"/>
  <c r="R43" i="1"/>
  <c r="R50" i="1"/>
  <c r="R13" i="1"/>
  <c r="R22" i="1"/>
  <c r="R11" i="1"/>
  <c r="R16" i="1"/>
  <c r="R21" i="1"/>
  <c r="R2" i="1"/>
  <c r="R48" i="1"/>
  <c r="R31" i="1"/>
  <c r="R25" i="1"/>
  <c r="R33" i="1"/>
  <c r="R5" i="1"/>
  <c r="P51" i="1"/>
  <c r="P47" i="1"/>
  <c r="P53" i="1"/>
  <c r="P46" i="1"/>
  <c r="P15" i="1"/>
  <c r="P49" i="1"/>
  <c r="P32" i="1"/>
  <c r="P6" i="1"/>
  <c r="P30" i="1"/>
  <c r="P45" i="1"/>
  <c r="P34" i="1"/>
  <c r="P27" i="1"/>
  <c r="P29" i="1"/>
  <c r="P37" i="1"/>
  <c r="P12" i="1"/>
  <c r="P40" i="1"/>
  <c r="P19" i="1"/>
  <c r="P8" i="1"/>
  <c r="P41" i="1"/>
  <c r="P14" i="1"/>
  <c r="P42" i="1"/>
  <c r="P26" i="1"/>
  <c r="P24" i="1"/>
  <c r="P35" i="1"/>
  <c r="P39" i="1"/>
  <c r="P17" i="1"/>
  <c r="P3" i="1"/>
  <c r="P36" i="1"/>
  <c r="P7" i="1"/>
  <c r="P28" i="1"/>
  <c r="P20" i="1"/>
  <c r="P18" i="1"/>
  <c r="P10" i="1"/>
  <c r="P44" i="1"/>
  <c r="P4" i="1"/>
  <c r="P38" i="1"/>
  <c r="P52" i="1"/>
  <c r="P23" i="1"/>
  <c r="P43" i="1"/>
  <c r="P50" i="1"/>
  <c r="P13" i="1"/>
  <c r="P22" i="1"/>
  <c r="P11" i="1"/>
  <c r="P16" i="1"/>
  <c r="P21" i="1"/>
  <c r="P2" i="1"/>
  <c r="P48" i="1"/>
  <c r="P31" i="1"/>
  <c r="P25" i="1"/>
  <c r="P33" i="1"/>
  <c r="P5" i="1"/>
  <c r="P9" i="1"/>
  <c r="N9" i="1"/>
  <c r="N51" i="1"/>
  <c r="N47" i="1"/>
  <c r="N53" i="1"/>
  <c r="N46" i="1"/>
  <c r="N15" i="1"/>
  <c r="N49" i="1"/>
  <c r="N32" i="1"/>
  <c r="N6" i="1"/>
  <c r="N30" i="1"/>
  <c r="N45" i="1"/>
  <c r="N34" i="1"/>
  <c r="N27" i="1"/>
  <c r="N29" i="1"/>
  <c r="N37" i="1"/>
  <c r="N12" i="1"/>
  <c r="N40" i="1"/>
  <c r="N19" i="1"/>
  <c r="N8" i="1"/>
  <c r="N41" i="1"/>
  <c r="N14" i="1"/>
  <c r="N42" i="1"/>
  <c r="N26" i="1"/>
  <c r="N24" i="1"/>
  <c r="N35" i="1"/>
  <c r="N39" i="1"/>
  <c r="N17" i="1"/>
  <c r="N3" i="1"/>
  <c r="N36" i="1"/>
  <c r="N7" i="1"/>
  <c r="N28" i="1"/>
  <c r="N20" i="1"/>
  <c r="N18" i="1"/>
  <c r="N10" i="1"/>
  <c r="N44" i="1"/>
  <c r="N4" i="1"/>
  <c r="N38" i="1"/>
  <c r="N52" i="1"/>
  <c r="N23" i="1"/>
  <c r="N43" i="1"/>
  <c r="N50" i="1"/>
  <c r="N13" i="1"/>
  <c r="N22" i="1"/>
  <c r="N11" i="1"/>
  <c r="N16" i="1"/>
  <c r="N21" i="1"/>
  <c r="N2" i="1"/>
  <c r="N48" i="1"/>
  <c r="N31" i="1"/>
  <c r="N25" i="1"/>
  <c r="N33" i="1"/>
  <c r="N5" i="1"/>
  <c r="AF44" i="1" l="1"/>
  <c r="AF3" i="1"/>
  <c r="AF47" i="1"/>
  <c r="AF22" i="1"/>
  <c r="AF30" i="1"/>
  <c r="AF8" i="1"/>
  <c r="AF39" i="1"/>
  <c r="AF31" i="1"/>
  <c r="AF35" i="1"/>
  <c r="AF9" i="1"/>
  <c r="AF20" i="1"/>
  <c r="AF32" i="1"/>
  <c r="AF28" i="1"/>
  <c r="AF49" i="1"/>
  <c r="AF5" i="1"/>
  <c r="AF34" i="1"/>
  <c r="AF43" i="1"/>
  <c r="AF18" i="1"/>
  <c r="AF6" i="1"/>
  <c r="AF41" i="1"/>
  <c r="AF48" i="1"/>
  <c r="AF24" i="1"/>
  <c r="AF33" i="1"/>
  <c r="AF45" i="1"/>
  <c r="AF2" i="1"/>
  <c r="AF37" i="1"/>
  <c r="AF10" i="1"/>
  <c r="AF19" i="1"/>
  <c r="AF51" i="1"/>
  <c r="AF21" i="1"/>
  <c r="AF52" i="1"/>
  <c r="AF7" i="1"/>
  <c r="AF42" i="1"/>
  <c r="AF29" i="1"/>
  <c r="AF15" i="1"/>
  <c r="AF50" i="1"/>
  <c r="AF40" i="1"/>
  <c r="AF4" i="1"/>
  <c r="AF53" i="1"/>
  <c r="AF12" i="1"/>
  <c r="AF17" i="1"/>
  <c r="AF23" i="1"/>
  <c r="AF26" i="1"/>
  <c r="AF11" i="1"/>
  <c r="AF25" i="1"/>
  <c r="AF13" i="1"/>
  <c r="AF16" i="1"/>
  <c r="AF38" i="1"/>
  <c r="AF36" i="1"/>
  <c r="AF14" i="1"/>
  <c r="AF27" i="1"/>
  <c r="AF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F9" authorId="0" shapeId="0" xr:uid="{B04C925F-E8F8-4D2A-845A-1885D7EA3747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Este parque está fuera del poligono de la localidad
</t>
        </r>
      </text>
    </comment>
    <comment ref="F10" authorId="0" shapeId="0" xr:uid="{92A75E09-6DB1-4991-B2C3-A27D250A95AD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Este parque es interior no parece público.  No tiene vías vehiculares de acceso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C6" authorId="0" shapeId="0" xr:uid="{910AA059-1E7A-41D1-BA6F-D0E942519FC7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Este parque es interior no parece público.  No tiene vías vehiculares de acceso</t>
        </r>
      </text>
    </comment>
    <comment ref="C27" authorId="0" shapeId="0" xr:uid="{2116E2D2-B6A3-4279-A2D3-E9EF0305B3C9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Este parque está fuera del poligono de la localidad
</t>
        </r>
      </text>
    </comment>
  </commentList>
</comments>
</file>

<file path=xl/sharedStrings.xml><?xml version="1.0" encoding="utf-8"?>
<sst xmlns="http://schemas.openxmlformats.org/spreadsheetml/2006/main" count="485" uniqueCount="246">
  <si>
    <t>ID_UPZ</t>
  </si>
  <si>
    <t>NOMBRE_PAR</t>
  </si>
  <si>
    <t>AREA</t>
  </si>
  <si>
    <t>10-018</t>
  </si>
  <si>
    <t>UPZ31</t>
  </si>
  <si>
    <t>VILLA LUZ</t>
  </si>
  <si>
    <t>PARQUE ZONAL</t>
  </si>
  <si>
    <t>10-574</t>
  </si>
  <si>
    <t>UPZ116</t>
  </si>
  <si>
    <t>URBANIZACIàN  LOS µNGELES</t>
  </si>
  <si>
    <t>PARQUE VECINAL</t>
  </si>
  <si>
    <t>10-249</t>
  </si>
  <si>
    <t>UPZ30</t>
  </si>
  <si>
    <t>URBANIZACIàN FLORENCIA I SECTOR</t>
  </si>
  <si>
    <t>10-190</t>
  </si>
  <si>
    <t>URBANIZACION NORMANDIA I, II, II Y IV SECTOR</t>
  </si>
  <si>
    <t>10-002</t>
  </si>
  <si>
    <t>UPZ73</t>
  </si>
  <si>
    <t>URBANIZACION EL MADRIGAL PRIMER SECTOR</t>
  </si>
  <si>
    <t>10-127</t>
  </si>
  <si>
    <t>URBANIZACIàN LUJAN</t>
  </si>
  <si>
    <t>10-049</t>
  </si>
  <si>
    <t>UPZ72</t>
  </si>
  <si>
    <t>URBANIZACION MULTICENTRO SUBA SECTOR ENGATIVA BOLIVIA ORIENTAL SEGUNDA ETAPA</t>
  </si>
  <si>
    <t>10-095</t>
  </si>
  <si>
    <t>URBANIZACION SANTA CECILIA</t>
  </si>
  <si>
    <t>10-084</t>
  </si>
  <si>
    <t>URBANIZACION EL ENCANTO</t>
  </si>
  <si>
    <t>10-285</t>
  </si>
  <si>
    <t>CIUDADELA COLSUBSIDIO</t>
  </si>
  <si>
    <t>10-045</t>
  </si>
  <si>
    <t>UPZ26</t>
  </si>
  <si>
    <t>URBANIZACION LA EUROPA</t>
  </si>
  <si>
    <t>10-212</t>
  </si>
  <si>
    <t>URBANIZACION BOCHICA MULTICENTRO (PRIIMERA Y SEGUNDA ETAPA)</t>
  </si>
  <si>
    <t>10-215</t>
  </si>
  <si>
    <t>URBANIZACIàN LA BONANZA</t>
  </si>
  <si>
    <t>10-001</t>
  </si>
  <si>
    <t>BOYACA REAL</t>
  </si>
  <si>
    <t>10-153</t>
  </si>
  <si>
    <t>URBANIZACION CIUDAD DE HONDA</t>
  </si>
  <si>
    <t>10-618</t>
  </si>
  <si>
    <t>URBANIZACIàN ALEJANDRÖA</t>
  </si>
  <si>
    <t>10-538</t>
  </si>
  <si>
    <t>URBANIZACION CIUDADELA COLSUBSIDIO SECTOR IV</t>
  </si>
  <si>
    <t>10-003</t>
  </si>
  <si>
    <t>GRANJA</t>
  </si>
  <si>
    <t>10-007</t>
  </si>
  <si>
    <t>10-734</t>
  </si>
  <si>
    <t>URBANIZACIàN PORTAL DE ALCALA</t>
  </si>
  <si>
    <t>10-169</t>
  </si>
  <si>
    <t>EL CARMELO</t>
  </si>
  <si>
    <t>10-119</t>
  </si>
  <si>
    <t>UPZ29</t>
  </si>
  <si>
    <t>URBANIZACION QUIRIGUA</t>
  </si>
  <si>
    <t>10-177</t>
  </si>
  <si>
    <t>10-083</t>
  </si>
  <si>
    <t>URBANIZACION SANTA HELENITA</t>
  </si>
  <si>
    <t>10-073</t>
  </si>
  <si>
    <t>URBANIZACION LA ESPA¥OLA</t>
  </si>
  <si>
    <t>10-157</t>
  </si>
  <si>
    <t>URBANIZACION EL PASEO</t>
  </si>
  <si>
    <t>10-196</t>
  </si>
  <si>
    <t>URBANIZACION CIUDADELA INDUSTRIAL EL DORADO</t>
  </si>
  <si>
    <t>10-019</t>
  </si>
  <si>
    <t>10-020</t>
  </si>
  <si>
    <t>LA PERLA</t>
  </si>
  <si>
    <t>10-047</t>
  </si>
  <si>
    <t>URBANIZACION NORMANDIA IV SECTOR</t>
  </si>
  <si>
    <t>10-291</t>
  </si>
  <si>
    <t>UPZ105</t>
  </si>
  <si>
    <t>SIMON BOLIVAR ( SECTOR JARDIN BOTANICO )</t>
  </si>
  <si>
    <t>PARQUE METROPOLITANO</t>
  </si>
  <si>
    <t>10-234</t>
  </si>
  <si>
    <t>SAN ANDRES</t>
  </si>
  <si>
    <t>10-202</t>
  </si>
  <si>
    <t>URBANIZACIàN GRAN GRANADA I ETAPA</t>
  </si>
  <si>
    <t>10-192</t>
  </si>
  <si>
    <t>TABORA</t>
  </si>
  <si>
    <t>10-105</t>
  </si>
  <si>
    <t>LA FLORIDA</t>
  </si>
  <si>
    <t>10-060</t>
  </si>
  <si>
    <t>URBANIZACION LA CLARITA  II SECTOR</t>
  </si>
  <si>
    <t>10-078</t>
  </si>
  <si>
    <t>URBANIZACION SAN MARCOS MANZANAS 14-15-44, URBANIZACION SAN MARCOS</t>
  </si>
  <si>
    <t>10-099</t>
  </si>
  <si>
    <t>UPZ74</t>
  </si>
  <si>
    <t>DESARROLLO VILLA GLADYS</t>
  </si>
  <si>
    <t>10-179</t>
  </si>
  <si>
    <t>URBANIZACION EL CORTIJO</t>
  </si>
  <si>
    <t>10-013</t>
  </si>
  <si>
    <t>URBANIZACION LA CLARITA PRIMER SECTOR</t>
  </si>
  <si>
    <t>10-011</t>
  </si>
  <si>
    <t>URBANIZACIàN BACHUE I ETAPA</t>
  </si>
  <si>
    <t>10-114</t>
  </si>
  <si>
    <t>URBANIZACIàN BOSQUE POPULAR</t>
  </si>
  <si>
    <t>10-043</t>
  </si>
  <si>
    <t>URBANIZACIàN LA BONANZA I SECTOR</t>
  </si>
  <si>
    <t>10-097</t>
  </si>
  <si>
    <t>10-195</t>
  </si>
  <si>
    <t>DESARROLLO LINTERAMA</t>
  </si>
  <si>
    <t>10-044</t>
  </si>
  <si>
    <t>URBANIZACION BONANZA PRIMER SECTOR</t>
  </si>
  <si>
    <t>10-010</t>
  </si>
  <si>
    <t>URBANIZACIàN DEL BARRIO LAS FERIAS</t>
  </si>
  <si>
    <t>10-053</t>
  </si>
  <si>
    <t>URBANIZACION SANTA MARIA 1 Y 2 SECTOR</t>
  </si>
  <si>
    <t>11-1159</t>
  </si>
  <si>
    <t>UPZ25</t>
  </si>
  <si>
    <t>URB LAGARTOS</t>
  </si>
  <si>
    <t>10-243</t>
  </si>
  <si>
    <t>DESARROLLO COMPARTIR BOCHICA</t>
  </si>
  <si>
    <t>Vías</t>
  </si>
  <si>
    <t xml:space="preserve">Vía 1: 6 mts,
450 mts x 71 mts </t>
  </si>
  <si>
    <t>Notas.</t>
  </si>
  <si>
    <t>Zona sin consolidar, solo una calle desus frentes construida, conjuntos cerrados a un lado, crecimiento por loteo otro lado.  Forma triangular</t>
  </si>
  <si>
    <t xml:space="preserve">Cuadrado, rodeado de calles, pero no son continuas.  Perfiles angostos. </t>
  </si>
  <si>
    <t>ID_ PARQUE</t>
  </si>
  <si>
    <t xml:space="preserve">2 vías : calzada: 7 mts + parqueo + andenes de 2,5 mts
calzada: 9,5 mts + 2 parqueos sobre calle + andenes 3,5 mts - 1 vía con ruta SITP. Mide: 53 x 95 a 75 mts </t>
  </si>
  <si>
    <t>No</t>
  </si>
  <si>
    <t>Hay una Iglesia y una plaza en frente. SITP en una de las calles.</t>
  </si>
  <si>
    <t>Vía SITP y otras 2: 5,5 mts + andenes 1.5 a las casas y 3 al parque
Vía 6 mts anden 1,8 a las casas 3 al parque
Rodeado de vía. 
95 x 45 mts</t>
  </si>
  <si>
    <t>Rodeado de 3 calles vehiculares.
2 vías de 8,30 mts + andenes de 2,00
1 vía de 5,50 mts + andenes de 1,50
Andenes del parque de 1,20 más zona verde
100 x 63</t>
  </si>
  <si>
    <t>Rodeado de vías con equipamiento salud
Vía 19 mts + andenes 3,5 (parque) y 2.00 comercio
vía 7,5 + andenes 3,50 + Iglesia
vía 8,50 + andenes 2 y 2,50 (centro salud)
vía 9,00 (3 carriles) + anden 1,50 + 2.00 anden parque
71 x 115 m2</t>
  </si>
  <si>
    <t>Mucho tráfico de camiones que parquean en frente del parque
Colegio e Iglesia enfrente
Cai y comercio en frente y ambulante</t>
  </si>
  <si>
    <t>Parque sobre la Calle 80
Vías aledañas no se puede parquear camiones</t>
  </si>
  <si>
    <t>Hay un barrio a sus espaldas con vivienda, pero los alrededores incluyen el portal, la calle 80.  No veo conveniente poner un mercado ahí,</t>
  </si>
  <si>
    <t>Una vía tiene ruta del SITP
Colegio Distrital Vecino
La otra vía no está consolidada</t>
  </si>
  <si>
    <t>Rodeado 4 calles
Vía de 8,30 + andenes 3 mts
2 vías de 9;30 + andenes 2,50 y 3 a 4 anden parque
Vía de 10,50 + andenes 2 mts
74 x 53 m</t>
  </si>
  <si>
    <t>Rodeado por 2 vías andenes del parque en mal estado y con poco ancho: 1.2 mts.
Solo 1 es vehicular. Ancho 7,58 - Andenes: 1.5
86 x 74 mts</t>
  </si>
  <si>
    <t>Iglesia en frente
Terminal de transporte</t>
  </si>
  <si>
    <t>Rodeado por 4 calles
3 vías de 5.5
1 vías de 9.5 andenes de 2
73 x 74</t>
  </si>
  <si>
    <t>Parque sobre la Calle 80
A un lado Carrefour, en el otro 1 conjunto residencial y al fondo un canal.  Muy poca vivienda en los alrededores</t>
  </si>
  <si>
    <t>NO APROPIADO</t>
  </si>
  <si>
    <t>Rodeado de calles.
Calle vehicular 1: SITP, pero con baranda que no permite el acceso
Calle vehicular 2: Parqueo de buses SITP. Otras calles perfil muy angosto
Vías 4,0- 4,50 - 7,0 - 9,0 mts andenes de 1,5 - 2 mts
61 x 104 mts</t>
  </si>
  <si>
    <t>FECHA
INCOR</t>
  </si>
  <si>
    <t>Total</t>
  </si>
  <si>
    <t>4 vías:
6 perfil + andenes parque: 1 mt de 2 mts frentes casas
100 x 100 mts</t>
  </si>
  <si>
    <t>Parque recatangular con dos vías con buenos perfiles, espacio para parquear y a 75 mts de la futura ALO.
Colegio vecino</t>
  </si>
  <si>
    <t>3 vías de acceso, perfiles 5 mts (angostos) andenes de 2.75. No hay espacio para parquear camiones. A 1 cuadra SITP</t>
  </si>
  <si>
    <t>Hay lugares para parquear caminiones en la vía en las vías de más de 8 mts
Paraderos SITP</t>
  </si>
  <si>
    <t xml:space="preserve">Calles aledañas con ventas ambulantes, semaforos.
Zona con alta actividad comercial y trafico.
Iglesia-Consultorios-Bodegas
</t>
  </si>
  <si>
    <t>TIPO PARQUE</t>
  </si>
  <si>
    <t>Congestión por comercio y parqueadero de busetas</t>
  </si>
  <si>
    <t>Amplia zona con parqueaderos alrededor y el humedal Jaboque.
Area sin consolidar, solo una vía de acceso, y de resto potreros y vías sin pavimentar</t>
  </si>
  <si>
    <t>Vías de 5,5 y andenes antiguos de 1 mt
Cambio de nivel al parque
Cancha de futbol con reja</t>
  </si>
  <si>
    <t>o</t>
  </si>
  <si>
    <t>Vías de 5,5 y andenes antiguos de 1 mt
Vías peatonales y frente de vivienda al parque</t>
  </si>
  <si>
    <t>Vías perfil de 7,5, Andenes de 1 a 3 mts,
Pocas zonas que permiten ubicación de mercados
Arborizado bajo y tupido no permite las carpas
Cai
SITP
Parque Ciudadela Colsubsidio</t>
  </si>
  <si>
    <t>Parque totalmente enrejado no permite su uso para mercados moviles</t>
  </si>
  <si>
    <t>Calles y andenes amplios, pero el parque está a desnivel del anden.  Hay bolardos, rejas y postes de alumbrado que no permiten que haya zonas para los mercados</t>
  </si>
  <si>
    <t>Calles cerradas. Parque con reja en las canchas.  Solo una zona para localizar (cancha multiple.  Pero la calle es muy estrecha</t>
  </si>
  <si>
    <t>Cancha de futbol, parque con reja
Colegio vecino</t>
  </si>
  <si>
    <t>Zona de parqueaderos en la calle de buses, camiones, etc.  Igelsia y colegio vecinos.  Hay una zona en la cancha multiple que permitiría la ubicación del mercado 
parque entre culatas de vivienda</t>
  </si>
  <si>
    <t>2 vías d 7,5 y 2 de 5,5. Andenes de 1 mts antiguos.
Arboles antiguos, y muy cercanos</t>
  </si>
  <si>
    <t>2 vías 7,50 + anden 1,20 al parque y 2,50 a las casas
Completa la manzana bloques de edificios
a 1 edif comercio de la calle 53
81 x 90</t>
  </si>
  <si>
    <t>Vías aledañas de 10 mts
50+45  x 215+400 (parque en forma de T)</t>
  </si>
  <si>
    <t>4 vías rodeandolo pero no continuas.
Vpias de 7,50 y 5,50 + andenes 2 en las viviendas y 1,20 en el parque más empradizado
125 x 110</t>
  </si>
  <si>
    <t>Solo acceso vehicular por los vértices y calles de 5 mts sin andenes.
Triangulo 192 x 90</t>
  </si>
  <si>
    <t>5 vías: 7,5 a 8,5 mts
Andenes de 2 mts con empradizado en frente.
232 x 50 mts
Ciudadela Colsubsidio
Ciertas zonas permitírían, de resto es muy arborizado</t>
  </si>
  <si>
    <t>2 vías de 6,30
2 vía de 7,30
Andenes antiguos parque 1 mt más empradizado, vivienda; 1,80
170 x 65 mts
a 1 cuadra parque empresarial normandía</t>
  </si>
  <si>
    <t>3 vías de 5,50 y andenes de 1,5 a 2
1 vía de 7,50
1 zona de canchas multiples apta para el mercado, pero con mal perfil de vía para parquear el camión
Zona cancha futbol con reja
100 x 100</t>
  </si>
  <si>
    <t>Un sector sobre la ronda del Humedal Jaboque
3 vías: 2 de 5,50 y 1 de 7,50.
Andenes de 3 mts y bahía de parqueo (buen sitio)
120 x 36 (triangulo)
Podría ser- sector sin consolidar, vías destapadas, mucho lote valdío</t>
  </si>
  <si>
    <t xml:space="preserve">2 calles : 7,50 y 11,50
Andenes: 1 a 1,50 mts mas empradizado
74 x 57 más 2 franjas de 21 x 113
Parque encerrado con rejas y cambios de niveles.  </t>
  </si>
  <si>
    <t>vía de 8,50 (3) y 1 de 6,50)
Andenes de 2 a 5 mts
77 x 180
Hay mucho arborizado y cambio de nivel, pero en la zona de la cancha multiple se podría localizar el mercado</t>
  </si>
  <si>
    <t>4 vías de 7,50 a 8,50
146 x 50 (2 triangulos)
Congestionado, en frente del aeropuerto</t>
  </si>
  <si>
    <t>3 calles: 6,50 - 9,50 -7,50
185 x 100
Parque enrejado, acceso restringido. Al lado de una Estación de Policía: restringe parqueo en la zona</t>
  </si>
  <si>
    <t>Acceso por calles cerraadas y peatonales, pero hay bahía de parqueo que permiirían al camión</t>
  </si>
  <si>
    <t>Solo una vía por donde acceder, el resto rodeado de vivienda o Iglesia cerrada</t>
  </si>
  <si>
    <t>Espacio ocupado y en rejado.  Hay un parque vecino pequeño que funcionaria mejor.  Las canchas de futbol tienen rejas…</t>
  </si>
  <si>
    <t>Solo una vía de acceso vehiclar, pero es congestionada, dificl parquear un camión.  El resto de mixta muy angosta (vehicular y peatonal)
Hay una Bahía amplia en donde se podría dar el mercado</t>
  </si>
  <si>
    <t>Bahía amplia para el desarrollo del mercado.  Sector muy residencial y calmado.</t>
  </si>
  <si>
    <t>Vías angostas rodeandolo, excepto 1, que permitiría el parqueo de camiones</t>
  </si>
  <si>
    <t>Cancha de futbol enrejada, con zonas verdes con mobiliario tipo sillas, no hay zonas libre para ubicar el mercado, Excepto en la parte de atrás donde hay bodegas y colegio y baja presencia de vivienda</t>
  </si>
  <si>
    <t>vías angostas de 5.5 con vías más amplias por donde va el SITP.  Los andenes no son buenos, pero si se usan las zonas duras del parque podría funcionar</t>
  </si>
  <si>
    <t>Alamos, industria y bodegas.  El parque no tiene andenes.</t>
  </si>
  <si>
    <t>Solo acceso peatonal, cicloruta y canal de agua.  No hay acceso vehicular, solo por una zona que da a la cancha enrejada de futbol.</t>
  </si>
  <si>
    <t>Calles angostas, excepto 1 que tiene SITP, CAI, pero está enrejada</t>
  </si>
  <si>
    <t>Parque totalmente enrejado, un único acceso controlado.  Al intrior en la zona de parqueo se podría desarrollar el mercado</t>
  </si>
  <si>
    <t>Jardín Botánico.  Debe hacerse al interior, en la zona de parqueo?</t>
  </si>
  <si>
    <t>No pasan</t>
  </si>
  <si>
    <t>Podrían</t>
  </si>
  <si>
    <t>ok</t>
  </si>
  <si>
    <t>Población</t>
  </si>
  <si>
    <t>Densidad promedio</t>
  </si>
  <si>
    <t>Latitud</t>
  </si>
  <si>
    <t>Longitud</t>
  </si>
  <si>
    <t>BAHÍA NORMANDÍA</t>
  </si>
  <si>
    <t>10-009</t>
  </si>
  <si>
    <t>ENGATIVÁ</t>
  </si>
  <si>
    <t>Perfiles viales</t>
  </si>
  <si>
    <t>Zonas duras y andenes</t>
  </si>
  <si>
    <t>Morfología</t>
  </si>
  <si>
    <t>Equipamientos comunales</t>
  </si>
  <si>
    <t>Usos de suelo</t>
  </si>
  <si>
    <t>Transporte público</t>
  </si>
  <si>
    <t>Tráfico Vehicular</t>
  </si>
  <si>
    <t>Factor</t>
  </si>
  <si>
    <t>Weight</t>
  </si>
  <si>
    <t>Estrato</t>
  </si>
  <si>
    <t>1. Población</t>
  </si>
  <si>
    <t>2. 
Estrato</t>
  </si>
  <si>
    <t>3.
Perfiles Viales</t>
  </si>
  <si>
    <t>4. 
Zonas Duras
Andenes</t>
  </si>
  <si>
    <t>5. 
Morfología</t>
  </si>
  <si>
    <t>6. 
Equipamientos</t>
  </si>
  <si>
    <t>7.
Uso de suelo</t>
  </si>
  <si>
    <t>8.
No paraderos</t>
  </si>
  <si>
    <t xml:space="preserve">8.
SITP </t>
  </si>
  <si>
    <t>9. 
Tráfico Vehicular</t>
  </si>
  <si>
    <t>7.
Vivienda</t>
  </si>
  <si>
    <t>8.
No par fac</t>
  </si>
  <si>
    <t>Area</t>
  </si>
  <si>
    <t>URB BOCHICA MULTICENTRO (1-2 ET)</t>
  </si>
  <si>
    <t>URBANIZACIÓN  LOS ANGELES</t>
  </si>
  <si>
    <t>…</t>
  </si>
  <si>
    <t>Park Name</t>
  </si>
  <si>
    <t>9. Traffic</t>
  </si>
  <si>
    <t>1.Population</t>
  </si>
  <si>
    <t>1. Population</t>
  </si>
  <si>
    <t>2. Social Stratification</t>
  </si>
  <si>
    <t>3. Vehicle's road width</t>
  </si>
  <si>
    <t>4. Sidewalks and Hard Floor</t>
  </si>
  <si>
    <t>5. Shape morphology</t>
  </si>
  <si>
    <t>6. Social facilities</t>
  </si>
  <si>
    <t>7. Land Use</t>
  </si>
  <si>
    <t>8. Public Transportation</t>
  </si>
  <si>
    <t>Total (Maximum score)</t>
  </si>
  <si>
    <t>Maximo</t>
  </si>
  <si>
    <t>Minimo</t>
  </si>
  <si>
    <t>Alternative 1</t>
  </si>
  <si>
    <t>Alernative 2</t>
  </si>
  <si>
    <t>Population</t>
  </si>
  <si>
    <t>Roads</t>
  </si>
  <si>
    <t>Traffic</t>
  </si>
  <si>
    <t>Alternative 50</t>
  </si>
  <si>
    <t>1000 km2</t>
  </si>
  <si>
    <t>800 km2</t>
  </si>
  <si>
    <t>2500km2</t>
  </si>
  <si>
    <t>Yes</t>
  </si>
  <si>
    <t>Morphology</t>
  </si>
  <si>
    <t>Good</t>
  </si>
  <si>
    <t>Bad</t>
  </si>
  <si>
    <t>Low</t>
  </si>
  <si>
    <t>High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</si>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</sst>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dd/mm/yy"/>
    <numFmt numFmtId="166" formatCode="_-* #,##0.0_-;\-* #,##0.0_-;_-* &quot;-&quot;_-;_-@_-"/>
    <numFmt numFmtId="167" formatCode="_-* #,##0.00_-;\-* #,##0.00_-;_-* &quot;-&quot;_-;_-@_-"/>
    <numFmt numFmtId="168" formatCode="_-* #,##0.000_-;\-* #,##0.000_-;_-* &quot;-&quot;_-;_-@_-"/>
    <numFmt numFmtId="169" formatCode="_-* #,##0.0_-;\-* #,##0.0_-;_-* &quot;-&quot;?_-;_-@_-"/>
    <numFmt numFmtId="170" formatCode="0;[Red]0"/>
  </numFmts>
  <fonts count="10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b/>
      <sz val="8"/>
      <color rgb="FF000000"/>
      <name val="Times New Roman"/>
      <family val="1"/>
    </font>
    <font>
      <sz val="8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6">
    <xf numFmtId="0" fontId="0" fillId="0" borderId="0" xfId="0"/>
    <xf numFmtId="0" fontId="0" fillId="0" borderId="0" xfId="0" applyAlignment="1">
      <alignment horizontal="center"/>
    </xf>
    <xf numFmtId="166" fontId="0" fillId="0" borderId="0" xfId="1" applyNumberFormat="1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0" xfId="0" applyFill="1" applyAlignment="1">
      <alignment horizontal="right" vertic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0" fillId="3" borderId="2" xfId="0" applyFill="1" applyBorder="1" applyAlignment="1">
      <alignment vertical="center"/>
    </xf>
    <xf numFmtId="0" fontId="0" fillId="4" borderId="0" xfId="0" applyFill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7" fontId="0" fillId="0" borderId="0" xfId="1" applyNumberFormat="1" applyFont="1" applyAlignment="1">
      <alignment horizontal="center"/>
    </xf>
    <xf numFmtId="0" fontId="0" fillId="0" borderId="1" xfId="1" applyNumberFormat="1" applyFont="1" applyBorder="1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/>
    </xf>
    <xf numFmtId="0" fontId="0" fillId="3" borderId="1" xfId="1" applyNumberFormat="1" applyFont="1" applyFill="1" applyBorder="1" applyAlignment="1">
      <alignment horizontal="center" vertical="center"/>
    </xf>
    <xf numFmtId="0" fontId="0" fillId="0" borderId="11" xfId="1" applyNumberFormat="1" applyFont="1" applyBorder="1" applyAlignment="1">
      <alignment horizontal="center" vertical="center"/>
    </xf>
    <xf numFmtId="168" fontId="2" fillId="0" borderId="0" xfId="1" applyNumberFormat="1" applyFont="1" applyAlignment="1">
      <alignment horizontal="center" vertical="center" wrapText="1"/>
    </xf>
    <xf numFmtId="168" fontId="0" fillId="0" borderId="0" xfId="1" applyNumberFormat="1" applyFont="1" applyAlignment="1">
      <alignment vertical="center"/>
    </xf>
    <xf numFmtId="168" fontId="0" fillId="2" borderId="0" xfId="1" applyNumberFormat="1" applyFont="1" applyFill="1" applyAlignment="1">
      <alignment vertical="center"/>
    </xf>
    <xf numFmtId="168" fontId="0" fillId="0" borderId="0" xfId="1" applyNumberFormat="1" applyFont="1" applyBorder="1" applyAlignment="1">
      <alignment vertical="center"/>
    </xf>
    <xf numFmtId="168" fontId="0" fillId="3" borderId="0" xfId="1" applyNumberFormat="1" applyFont="1" applyFill="1" applyBorder="1" applyAlignment="1">
      <alignment vertical="center"/>
    </xf>
    <xf numFmtId="168" fontId="0" fillId="0" borderId="0" xfId="1" applyNumberFormat="1" applyFont="1"/>
    <xf numFmtId="0" fontId="0" fillId="0" borderId="6" xfId="1" applyNumberFormat="1" applyFont="1" applyBorder="1" applyAlignment="1">
      <alignment horizontal="center" vertical="center"/>
    </xf>
    <xf numFmtId="164" fontId="2" fillId="6" borderId="1" xfId="1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8" xfId="0" applyFont="1" applyBorder="1"/>
    <xf numFmtId="0" fontId="5" fillId="6" borderId="14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66" fontId="0" fillId="7" borderId="1" xfId="1" applyNumberFormat="1" applyFont="1" applyFill="1" applyBorder="1" applyAlignment="1">
      <alignment horizontal="right" vertical="center"/>
    </xf>
    <xf numFmtId="166" fontId="0" fillId="0" borderId="0" xfId="1" applyNumberFormat="1" applyFont="1" applyAlignment="1">
      <alignment horizontal="right"/>
    </xf>
    <xf numFmtId="166" fontId="0" fillId="8" borderId="1" xfId="1" applyNumberFormat="1" applyFont="1" applyFill="1" applyBorder="1" applyAlignment="1">
      <alignment horizontal="right" vertical="center"/>
    </xf>
    <xf numFmtId="170" fontId="0" fillId="0" borderId="1" xfId="0" applyNumberFormat="1" applyBorder="1" applyAlignment="1">
      <alignment horizontal="center" vertical="center"/>
    </xf>
    <xf numFmtId="170" fontId="0" fillId="3" borderId="1" xfId="0" applyNumberFormat="1" applyFill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170" fontId="0" fillId="0" borderId="11" xfId="0" applyNumberFormat="1" applyBorder="1" applyAlignment="1">
      <alignment horizontal="center" vertical="center"/>
    </xf>
    <xf numFmtId="170" fontId="0" fillId="0" borderId="0" xfId="0" applyNumberFormat="1" applyAlignment="1">
      <alignment horizontal="center"/>
    </xf>
    <xf numFmtId="166" fontId="0" fillId="7" borderId="1" xfId="1" applyNumberFormat="1" applyFont="1" applyFill="1" applyBorder="1" applyAlignment="1">
      <alignment horizontal="center" vertical="center"/>
    </xf>
    <xf numFmtId="164" fontId="0" fillId="0" borderId="23" xfId="1" applyFont="1" applyBorder="1" applyAlignment="1">
      <alignment horizontal="center" vertical="center"/>
    </xf>
    <xf numFmtId="164" fontId="0" fillId="0" borderId="24" xfId="1" applyFont="1" applyBorder="1" applyAlignment="1">
      <alignment horizontal="center" vertical="center"/>
    </xf>
    <xf numFmtId="164" fontId="0" fillId="2" borderId="24" xfId="1" applyFont="1" applyFill="1" applyBorder="1" applyAlignment="1">
      <alignment horizontal="center" vertical="center"/>
    </xf>
    <xf numFmtId="164" fontId="0" fillId="3" borderId="24" xfId="1" applyFont="1" applyFill="1" applyBorder="1" applyAlignment="1">
      <alignment horizontal="center" vertical="center"/>
    </xf>
    <xf numFmtId="164" fontId="0" fillId="0" borderId="25" xfId="1" applyFont="1" applyBorder="1" applyAlignment="1">
      <alignment horizontal="center" vertical="center"/>
    </xf>
    <xf numFmtId="166" fontId="0" fillId="7" borderId="5" xfId="1" applyNumberFormat="1" applyFont="1" applyFill="1" applyBorder="1" applyAlignment="1">
      <alignment horizontal="center" vertical="center"/>
    </xf>
    <xf numFmtId="166" fontId="0" fillId="7" borderId="6" xfId="1" applyNumberFormat="1" applyFont="1" applyFill="1" applyBorder="1" applyAlignment="1">
      <alignment horizontal="center" vertical="center"/>
    </xf>
    <xf numFmtId="166" fontId="0" fillId="7" borderId="6" xfId="1" applyNumberFormat="1" applyFont="1" applyFill="1" applyBorder="1" applyAlignment="1">
      <alignment horizontal="right" vertical="center"/>
    </xf>
    <xf numFmtId="166" fontId="0" fillId="8" borderId="6" xfId="1" applyNumberFormat="1" applyFont="1" applyFill="1" applyBorder="1" applyAlignment="1">
      <alignment horizontal="right" vertical="center"/>
    </xf>
    <xf numFmtId="170" fontId="0" fillId="0" borderId="6" xfId="0" applyNumberFormat="1" applyBorder="1" applyAlignment="1">
      <alignment horizontal="center" vertical="center"/>
    </xf>
    <xf numFmtId="166" fontId="0" fillId="7" borderId="7" xfId="1" applyNumberFormat="1" applyFont="1" applyFill="1" applyBorder="1" applyAlignment="1">
      <alignment horizontal="right" vertical="center"/>
    </xf>
    <xf numFmtId="166" fontId="0" fillId="7" borderId="9" xfId="1" applyNumberFormat="1" applyFont="1" applyFill="1" applyBorder="1" applyAlignment="1">
      <alignment horizontal="right" vertical="center"/>
    </xf>
    <xf numFmtId="166" fontId="0" fillId="7" borderId="11" xfId="1" applyNumberFormat="1" applyFont="1" applyFill="1" applyBorder="1" applyAlignment="1">
      <alignment horizontal="center" vertical="center"/>
    </xf>
    <xf numFmtId="166" fontId="0" fillId="7" borderId="11" xfId="1" applyNumberFormat="1" applyFont="1" applyFill="1" applyBorder="1" applyAlignment="1">
      <alignment horizontal="right" vertical="center"/>
    </xf>
    <xf numFmtId="166" fontId="0" fillId="8" borderId="11" xfId="1" applyNumberFormat="1" applyFont="1" applyFill="1" applyBorder="1" applyAlignment="1">
      <alignment horizontal="right" vertical="center"/>
    </xf>
    <xf numFmtId="166" fontId="0" fillId="7" borderId="12" xfId="1" applyNumberFormat="1" applyFont="1" applyFill="1" applyBorder="1" applyAlignment="1">
      <alignment horizontal="right" vertical="center"/>
    </xf>
    <xf numFmtId="169" fontId="2" fillId="9" borderId="26" xfId="0" applyNumberFormat="1" applyFont="1" applyFill="1" applyBorder="1" applyAlignment="1">
      <alignment horizontal="center" vertical="center"/>
    </xf>
    <xf numFmtId="169" fontId="2" fillId="9" borderId="27" xfId="0" applyNumberFormat="1" applyFont="1" applyFill="1" applyBorder="1" applyAlignment="1">
      <alignment horizontal="center" vertical="center"/>
    </xf>
    <xf numFmtId="169" fontId="2" fillId="9" borderId="28" xfId="0" applyNumberFormat="1" applyFont="1" applyFill="1" applyBorder="1" applyAlignment="1">
      <alignment horizontal="center" vertical="center"/>
    </xf>
    <xf numFmtId="164" fontId="2" fillId="2" borderId="22" xfId="1" applyFont="1" applyFill="1" applyBorder="1" applyAlignment="1">
      <alignment horizontal="center" vertical="center" wrapText="1"/>
    </xf>
    <xf numFmtId="1" fontId="2" fillId="2" borderId="22" xfId="1" applyNumberFormat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170" fontId="2" fillId="2" borderId="22" xfId="0" applyNumberFormat="1" applyFont="1" applyFill="1" applyBorder="1" applyAlignment="1">
      <alignment horizontal="center" vertical="center" wrapText="1"/>
    </xf>
    <xf numFmtId="164" fontId="2" fillId="2" borderId="29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7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66" fontId="0" fillId="0" borderId="9" xfId="1" applyNumberFormat="1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167" fontId="0" fillId="0" borderId="11" xfId="1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0" borderId="19" xfId="0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67" fontId="2" fillId="0" borderId="21" xfId="1" applyNumberFormat="1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166" fontId="2" fillId="0" borderId="17" xfId="1" applyNumberFormat="1" applyFont="1" applyFill="1" applyBorder="1" applyAlignment="1">
      <alignment horizontal="center" vertical="center" wrapText="1"/>
    </xf>
    <xf numFmtId="166" fontId="0" fillId="0" borderId="20" xfId="1" applyNumberFormat="1" applyFont="1" applyFill="1" applyBorder="1" applyAlignment="1">
      <alignment vertical="center"/>
    </xf>
    <xf numFmtId="166" fontId="0" fillId="0" borderId="12" xfId="1" applyNumberFormat="1" applyFont="1" applyFill="1" applyBorder="1"/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6" fontId="6" fillId="0" borderId="1" xfId="1" applyNumberFormat="1" applyFont="1" applyBorder="1"/>
    <xf numFmtId="166" fontId="6" fillId="0" borderId="9" xfId="1" applyNumberFormat="1" applyFont="1" applyBorder="1"/>
    <xf numFmtId="0" fontId="6" fillId="0" borderId="10" xfId="0" applyFont="1" applyBorder="1"/>
    <xf numFmtId="166" fontId="6" fillId="0" borderId="11" xfId="1" applyNumberFormat="1" applyFont="1" applyBorder="1"/>
    <xf numFmtId="166" fontId="6" fillId="0" borderId="12" xfId="1" applyNumberFormat="1" applyFont="1" applyBorder="1"/>
    <xf numFmtId="167" fontId="0" fillId="0" borderId="19" xfId="1" applyNumberFormat="1" applyFont="1" applyFill="1" applyBorder="1" applyAlignment="1">
      <alignment vertical="center"/>
    </xf>
    <xf numFmtId="165" fontId="0" fillId="0" borderId="19" xfId="0" applyNumberFormat="1" applyBorder="1" applyAlignment="1">
      <alignment vertical="center"/>
    </xf>
    <xf numFmtId="0" fontId="0" fillId="0" borderId="11" xfId="0" applyBorder="1"/>
    <xf numFmtId="0" fontId="6" fillId="0" borderId="18" xfId="0" applyFont="1" applyBorder="1"/>
    <xf numFmtId="166" fontId="6" fillId="0" borderId="19" xfId="1" applyNumberFormat="1" applyFont="1" applyBorder="1"/>
    <xf numFmtId="166" fontId="6" fillId="0" borderId="20" xfId="1" applyNumberFormat="1" applyFont="1" applyBorder="1"/>
    <xf numFmtId="0" fontId="5" fillId="6" borderId="16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8" fillId="10" borderId="30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justify" vertical="center"/>
    </xf>
    <xf numFmtId="0" fontId="9" fillId="0" borderId="32" xfId="0" applyFont="1" applyBorder="1" applyAlignment="1">
      <alignment horizontal="center" vertical="center"/>
    </xf>
    <xf numFmtId="0" fontId="8" fillId="10" borderId="31" xfId="0" applyFont="1" applyFill="1" applyBorder="1" applyAlignment="1">
      <alignment horizontal="center" vertical="center"/>
    </xf>
    <xf numFmtId="0" fontId="8" fillId="10" borderId="3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166" fontId="6" fillId="0" borderId="20" xfId="1" applyNumberFormat="1" applyFont="1" applyFill="1" applyBorder="1" applyAlignment="1">
      <alignment vertical="center"/>
    </xf>
    <xf numFmtId="166" fontId="6" fillId="0" borderId="9" xfId="1" applyNumberFormat="1" applyFont="1" applyFill="1" applyBorder="1" applyAlignment="1">
      <alignment vertical="center"/>
    </xf>
    <xf numFmtId="166" fontId="6" fillId="7" borderId="8" xfId="1" applyNumberFormat="1" applyFont="1" applyFill="1" applyBorder="1" applyAlignment="1">
      <alignment horizontal="center" vertical="center"/>
    </xf>
    <xf numFmtId="166" fontId="6" fillId="7" borderId="1" xfId="1" applyNumberFormat="1" applyFont="1" applyFill="1" applyBorder="1" applyAlignment="1">
      <alignment horizontal="center" vertical="center"/>
    </xf>
    <xf numFmtId="166" fontId="6" fillId="7" borderId="1" xfId="1" applyNumberFormat="1" applyFont="1" applyFill="1" applyBorder="1" applyAlignment="1">
      <alignment horizontal="right" vertical="center"/>
    </xf>
    <xf numFmtId="166" fontId="6" fillId="0" borderId="9" xfId="1" applyNumberFormat="1" applyFont="1" applyFill="1" applyBorder="1"/>
    <xf numFmtId="166" fontId="6" fillId="0" borderId="12" xfId="1" applyNumberFormat="1" applyFont="1" applyFill="1" applyBorder="1" applyAlignment="1">
      <alignment vertical="center"/>
    </xf>
    <xf numFmtId="166" fontId="6" fillId="7" borderId="10" xfId="1" applyNumberFormat="1" applyFont="1" applyFill="1" applyBorder="1" applyAlignment="1">
      <alignment horizontal="center" vertical="center"/>
    </xf>
    <xf numFmtId="166" fontId="6" fillId="7" borderId="11" xfId="1" applyNumberFormat="1" applyFont="1" applyFill="1" applyBorder="1" applyAlignment="1">
      <alignment horizontal="center" vertical="center"/>
    </xf>
    <xf numFmtId="166" fontId="6" fillId="7" borderId="11" xfId="1" applyNumberFormat="1" applyFont="1" applyFill="1" applyBorder="1" applyAlignment="1">
      <alignment horizontal="right" vertical="center"/>
    </xf>
    <xf numFmtId="166" fontId="6" fillId="7" borderId="33" xfId="1" applyNumberFormat="1" applyFont="1" applyFill="1" applyBorder="1" applyAlignment="1">
      <alignment horizontal="right" vertical="center"/>
    </xf>
    <xf numFmtId="166" fontId="6" fillId="7" borderId="34" xfId="1" applyNumberFormat="1" applyFont="1" applyFill="1" applyBorder="1" applyAlignment="1">
      <alignment horizontal="right" vertical="center"/>
    </xf>
    <xf numFmtId="169" fontId="5" fillId="9" borderId="27" xfId="0" applyNumberFormat="1" applyFont="1" applyFill="1" applyBorder="1" applyAlignment="1">
      <alignment horizontal="center" vertical="center"/>
    </xf>
    <xf numFmtId="169" fontId="5" fillId="9" borderId="28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166" fontId="6" fillId="7" borderId="18" xfId="1" applyNumberFormat="1" applyFont="1" applyFill="1" applyBorder="1" applyAlignment="1">
      <alignment horizontal="center" vertical="center"/>
    </xf>
    <xf numFmtId="166" fontId="6" fillId="7" borderId="19" xfId="1" applyNumberFormat="1" applyFont="1" applyFill="1" applyBorder="1" applyAlignment="1">
      <alignment horizontal="center" vertical="center"/>
    </xf>
    <xf numFmtId="166" fontId="6" fillId="7" borderId="19" xfId="1" applyNumberFormat="1" applyFont="1" applyFill="1" applyBorder="1" applyAlignment="1">
      <alignment horizontal="right" vertical="center"/>
    </xf>
    <xf numFmtId="166" fontId="6" fillId="7" borderId="38" xfId="1" applyNumberFormat="1" applyFont="1" applyFill="1" applyBorder="1" applyAlignment="1">
      <alignment horizontal="right" vertical="center"/>
    </xf>
    <xf numFmtId="169" fontId="5" fillId="9" borderId="37" xfId="0" applyNumberFormat="1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166" fontId="5" fillId="6" borderId="21" xfId="1" applyNumberFormat="1" applyFont="1" applyFill="1" applyBorder="1" applyAlignment="1">
      <alignment horizontal="center" vertical="center" wrapText="1"/>
    </xf>
    <xf numFmtId="164" fontId="5" fillId="6" borderId="21" xfId="1" applyFont="1" applyFill="1" applyBorder="1" applyAlignment="1">
      <alignment horizontal="center" vertical="center" wrapText="1"/>
    </xf>
    <xf numFmtId="164" fontId="5" fillId="6" borderId="40" xfId="1" applyFont="1" applyFill="1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3">
    <cellStyle name="Millares [0]" xfId="1" builtinId="6"/>
    <cellStyle name="Millares [0] 2" xfId="2" xr:uid="{79613590-B7B5-4C57-874F-198A88DED74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8"/>
  <sheetViews>
    <sheetView tabSelected="1" zoomScale="85" zoomScaleNormal="85" workbookViewId="0">
      <selection activeCell="E2" sqref="E2"/>
    </sheetView>
  </sheetViews>
  <sheetFormatPr baseColWidth="10" defaultColWidth="11.44140625" defaultRowHeight="13.2" x14ac:dyDescent="0.25"/>
  <cols>
    <col min="1" max="1" width="4.109375" style="1" customWidth="1"/>
    <col min="2" max="2" width="11.44140625" style="24" customWidth="1"/>
    <col min="3" max="3" width="12" style="24" customWidth="1"/>
    <col min="4" max="4" width="8.6640625" style="1" customWidth="1"/>
    <col min="5" max="5" width="8.33203125" style="1" customWidth="1"/>
    <col min="6" max="6" width="26.88671875" style="12" customWidth="1"/>
    <col min="7" max="7" width="11" style="5" customWidth="1"/>
    <col min="8" max="8" width="8.6640625" customWidth="1"/>
    <col min="9" max="9" width="11" style="2" customWidth="1"/>
    <col min="10" max="10" width="11" style="34" customWidth="1"/>
    <col min="11" max="11" width="11.88671875" style="22" bestFit="1" customWidth="1"/>
    <col min="12" max="12" width="15" style="22" customWidth="1"/>
    <col min="13" max="13" width="11.109375" style="45" customWidth="1"/>
    <col min="14" max="14" width="15" style="23" customWidth="1"/>
    <col min="15" max="15" width="13.21875" style="1" customWidth="1"/>
    <col min="16" max="16" width="15" style="47" customWidth="1"/>
    <col min="17" max="17" width="10.77734375" style="1" customWidth="1"/>
    <col min="18" max="18" width="15" style="47" customWidth="1"/>
    <col min="19" max="19" width="16" style="1" customWidth="1"/>
    <col min="20" max="20" width="15" style="1" customWidth="1"/>
    <col min="21" max="21" width="12.33203125" style="1" customWidth="1"/>
    <col min="22" max="22" width="15" style="1" customWidth="1"/>
    <col min="23" max="23" width="17.6640625" style="1" customWidth="1"/>
    <col min="24" max="24" width="13.44140625" style="1" customWidth="1"/>
    <col min="25" max="25" width="15" style="1" customWidth="1"/>
    <col min="26" max="26" width="11.109375" style="21" customWidth="1"/>
    <col min="27" max="27" width="8" style="21" customWidth="1"/>
    <col min="28" max="28" width="13.44140625" style="1" customWidth="1"/>
    <col min="29" max="29" width="15" style="1" customWidth="1"/>
    <col min="30" max="30" width="13.44140625" style="53" customWidth="1"/>
    <col min="31" max="31" width="15" style="1" customWidth="1"/>
    <col min="32" max="32" width="13.44140625" style="13" customWidth="1"/>
    <col min="33" max="33" width="51.109375" customWidth="1"/>
    <col min="34" max="34" width="39.109375" customWidth="1"/>
    <col min="35" max="1040" width="15"/>
  </cols>
  <sheetData>
    <row r="1" spans="1:34" s="5" customFormat="1" ht="53.4" thickBot="1" x14ac:dyDescent="0.3">
      <c r="A1" s="94" t="s">
        <v>119</v>
      </c>
      <c r="B1" s="95" t="s">
        <v>185</v>
      </c>
      <c r="C1" s="95" t="s">
        <v>186</v>
      </c>
      <c r="D1" s="96" t="s">
        <v>117</v>
      </c>
      <c r="E1" s="96" t="s">
        <v>0</v>
      </c>
      <c r="F1" s="96" t="s">
        <v>1</v>
      </c>
      <c r="G1" s="96" t="s">
        <v>142</v>
      </c>
      <c r="H1" s="96" t="s">
        <v>135</v>
      </c>
      <c r="I1" s="97" t="s">
        <v>2</v>
      </c>
      <c r="J1" s="29" t="s">
        <v>184</v>
      </c>
      <c r="K1" s="36" t="s">
        <v>200</v>
      </c>
      <c r="L1" s="74" t="s">
        <v>200</v>
      </c>
      <c r="M1" s="75" t="s">
        <v>201</v>
      </c>
      <c r="N1" s="74" t="s">
        <v>201</v>
      </c>
      <c r="O1" s="76" t="s">
        <v>202</v>
      </c>
      <c r="P1" s="74" t="s">
        <v>202</v>
      </c>
      <c r="Q1" s="76" t="s">
        <v>203</v>
      </c>
      <c r="R1" s="74" t="s">
        <v>203</v>
      </c>
      <c r="S1" s="76" t="s">
        <v>204</v>
      </c>
      <c r="T1" s="74" t="s">
        <v>204</v>
      </c>
      <c r="U1" s="76" t="s">
        <v>205</v>
      </c>
      <c r="V1" s="74" t="s">
        <v>205</v>
      </c>
      <c r="W1" s="76" t="s">
        <v>206</v>
      </c>
      <c r="X1" s="76" t="s">
        <v>210</v>
      </c>
      <c r="Y1" s="74" t="s">
        <v>210</v>
      </c>
      <c r="Z1" s="76" t="s">
        <v>207</v>
      </c>
      <c r="AA1" s="76" t="s">
        <v>211</v>
      </c>
      <c r="AB1" s="76" t="s">
        <v>208</v>
      </c>
      <c r="AC1" s="74" t="s">
        <v>208</v>
      </c>
      <c r="AD1" s="77" t="s">
        <v>209</v>
      </c>
      <c r="AE1" s="78" t="s">
        <v>209</v>
      </c>
      <c r="AF1" s="79" t="s">
        <v>136</v>
      </c>
      <c r="AG1" s="6" t="s">
        <v>112</v>
      </c>
      <c r="AH1" s="5" t="s">
        <v>114</v>
      </c>
    </row>
    <row r="2" spans="1:34" s="3" customFormat="1" ht="57.75" customHeight="1" thickBot="1" x14ac:dyDescent="0.3">
      <c r="A2" s="90">
        <v>1</v>
      </c>
      <c r="B2" s="107">
        <v>4.7176085700000003</v>
      </c>
      <c r="C2" s="107">
        <v>-74.127349530000004</v>
      </c>
      <c r="D2" s="91" t="s">
        <v>75</v>
      </c>
      <c r="E2" s="91" t="s">
        <v>17</v>
      </c>
      <c r="F2" s="92" t="s">
        <v>76</v>
      </c>
      <c r="G2" s="93" t="s">
        <v>10</v>
      </c>
      <c r="H2" s="108">
        <v>37987</v>
      </c>
      <c r="I2" s="98">
        <v>4779.715166086</v>
      </c>
      <c r="J2" s="30">
        <v>4.9236187387257879E-2</v>
      </c>
      <c r="K2" s="55">
        <v>14779</v>
      </c>
      <c r="L2" s="60">
        <f>((K2-$K$56)/($K$55-$K$56))*Factores!$C$4</f>
        <v>12.628651300775902</v>
      </c>
      <c r="M2" s="19">
        <v>3</v>
      </c>
      <c r="N2" s="61">
        <f>+IF(OR(M2=3,M2=2,M2=1),Factores!$C$5,0)</f>
        <v>10</v>
      </c>
      <c r="O2" s="19">
        <v>0</v>
      </c>
      <c r="P2" s="62">
        <f>+IF(O2=1,Factores!$C$6,0)</f>
        <v>0</v>
      </c>
      <c r="Q2" s="19">
        <v>0</v>
      </c>
      <c r="R2" s="62">
        <f>+IF(Q2=1,Factores!$C$7,0)</f>
        <v>0</v>
      </c>
      <c r="S2" s="19">
        <v>0</v>
      </c>
      <c r="T2" s="62">
        <f>+IF(S2=1,Factores!$C$8,0)</f>
        <v>0</v>
      </c>
      <c r="U2" s="19">
        <v>0</v>
      </c>
      <c r="V2" s="62">
        <f>+IF(U2=1,Factores!$C$9,0)</f>
        <v>0</v>
      </c>
      <c r="W2" s="19">
        <v>0</v>
      </c>
      <c r="X2" s="19">
        <v>1</v>
      </c>
      <c r="Y2" s="62">
        <f>+IF((X2+W2)=1,Factores!$C$9,0)</f>
        <v>5</v>
      </c>
      <c r="Z2" s="35">
        <v>12</v>
      </c>
      <c r="AA2" s="63">
        <f t="shared" ref="AA2:AA33" si="0">+IF(Z2&gt;0,0.5,0)</f>
        <v>0.5</v>
      </c>
      <c r="AB2" s="19">
        <v>1</v>
      </c>
      <c r="AC2" s="61">
        <f>+IF(AB2=1,Factores!$C$11,IF(AA2=0.5,(Factores!$C$11/2),0))</f>
        <v>5</v>
      </c>
      <c r="AD2" s="64">
        <v>0</v>
      </c>
      <c r="AE2" s="65">
        <f>+IF(AD2&lt;0,0,Factores!$C$12)</f>
        <v>5</v>
      </c>
      <c r="AF2" s="71">
        <f t="shared" ref="AF2:AF33" si="1">L2+N2+P2+R2+T2+V2+Y2+AC2+AE2</f>
        <v>37.6286513007759</v>
      </c>
      <c r="AG2" s="4" t="s">
        <v>113</v>
      </c>
      <c r="AH2" s="4" t="s">
        <v>115</v>
      </c>
    </row>
    <row r="3" spans="1:34" s="3" customFormat="1" ht="57.75" customHeight="1" thickBot="1" x14ac:dyDescent="0.3">
      <c r="A3" s="84">
        <v>2</v>
      </c>
      <c r="B3" s="80">
        <v>4.6870809160000002</v>
      </c>
      <c r="C3" s="80">
        <v>-74.092525460000005</v>
      </c>
      <c r="D3" s="16" t="s">
        <v>101</v>
      </c>
      <c r="E3" s="16" t="s">
        <v>31</v>
      </c>
      <c r="F3" s="81" t="s">
        <v>102</v>
      </c>
      <c r="G3" s="82" t="s">
        <v>10</v>
      </c>
      <c r="H3" s="83">
        <v>37987</v>
      </c>
      <c r="I3" s="85">
        <v>4792.8537618541959</v>
      </c>
      <c r="J3" s="30">
        <v>3.1236656116889746E-2</v>
      </c>
      <c r="K3" s="56">
        <v>8708</v>
      </c>
      <c r="L3" s="60">
        <f>((K3-$K$56)/($K$55-$K$56))*Factores!$C$4</f>
        <v>7.4332496576905527</v>
      </c>
      <c r="M3" s="16">
        <v>3</v>
      </c>
      <c r="N3" s="54">
        <f>+IF(OR(M3=3,M3=2,M3=1),Factores!$C$5,0)</f>
        <v>10</v>
      </c>
      <c r="O3" s="16">
        <v>0</v>
      </c>
      <c r="P3" s="46">
        <f>+IF(O3=1,Factores!$C$6,0)</f>
        <v>0</v>
      </c>
      <c r="Q3" s="16">
        <v>0</v>
      </c>
      <c r="R3" s="46">
        <f>+IF(Q3=1,Factores!$C$7,0)</f>
        <v>0</v>
      </c>
      <c r="S3" s="16">
        <v>1</v>
      </c>
      <c r="T3" s="46">
        <f>+IF(S3=1,Factores!$C$8,0)</f>
        <v>20</v>
      </c>
      <c r="U3" s="16">
        <v>0</v>
      </c>
      <c r="V3" s="46">
        <f>+IF(U3=1,Factores!$C$9,0)</f>
        <v>0</v>
      </c>
      <c r="W3" s="16">
        <v>0</v>
      </c>
      <c r="X3" s="16">
        <v>1</v>
      </c>
      <c r="Y3" s="46">
        <f>+IF((X3+W3)=1,Factores!$C$9,0)</f>
        <v>5</v>
      </c>
      <c r="Z3" s="25">
        <v>14</v>
      </c>
      <c r="AA3" s="48">
        <f t="shared" si="0"/>
        <v>0.5</v>
      </c>
      <c r="AB3" s="16">
        <v>0</v>
      </c>
      <c r="AC3" s="54">
        <f>+IF(AB3=1,Factores!$C$11,IF(AA3=0.5,(Factores!$C$11/2),0))</f>
        <v>2.5</v>
      </c>
      <c r="AD3" s="49">
        <v>0</v>
      </c>
      <c r="AE3" s="66">
        <f>+IF(AD3&lt;0,0,Factores!$C$12)</f>
        <v>5</v>
      </c>
      <c r="AF3" s="72">
        <f t="shared" si="1"/>
        <v>49.933249657690553</v>
      </c>
      <c r="AG3" s="4" t="s">
        <v>137</v>
      </c>
      <c r="AH3" s="4" t="s">
        <v>116</v>
      </c>
    </row>
    <row r="4" spans="1:34" s="3" customFormat="1" ht="57.75" customHeight="1" thickBot="1" x14ac:dyDescent="0.3">
      <c r="A4" s="84">
        <v>3</v>
      </c>
      <c r="B4" s="80">
        <v>4.7182245810000003</v>
      </c>
      <c r="C4" s="80">
        <v>-74.106731839999995</v>
      </c>
      <c r="D4" s="16" t="s">
        <v>110</v>
      </c>
      <c r="E4" s="16" t="s">
        <v>22</v>
      </c>
      <c r="F4" s="81" t="s">
        <v>111</v>
      </c>
      <c r="G4" s="82" t="s">
        <v>10</v>
      </c>
      <c r="H4" s="83">
        <v>37987</v>
      </c>
      <c r="I4" s="85">
        <v>4793.7957260219382</v>
      </c>
      <c r="J4" s="30">
        <v>2.8853177604077383E-2</v>
      </c>
      <c r="K4" s="56">
        <v>10413</v>
      </c>
      <c r="L4" s="60">
        <f>((K4-$K$56)/($K$55-$K$56))*Factores!$C$4</f>
        <v>8.8923436786855312</v>
      </c>
      <c r="M4" s="16">
        <v>3</v>
      </c>
      <c r="N4" s="54">
        <f>+IF(OR(M4=3,M4=2,M4=1),Factores!$C$5,0)</f>
        <v>10</v>
      </c>
      <c r="O4" s="16">
        <v>1</v>
      </c>
      <c r="P4" s="46">
        <f>+IF(O4=1,Factores!$C$6,0)</f>
        <v>10</v>
      </c>
      <c r="Q4" s="16">
        <v>1</v>
      </c>
      <c r="R4" s="46">
        <f>+IF(Q4=1,Factores!$C$7,0)</f>
        <v>10</v>
      </c>
      <c r="S4" s="16">
        <v>1</v>
      </c>
      <c r="T4" s="46">
        <f>+IF(S4=1,Factores!$C$8,0)</f>
        <v>20</v>
      </c>
      <c r="U4" s="16">
        <v>1</v>
      </c>
      <c r="V4" s="46">
        <f>+IF(U4=1,Factores!$C$9,0)</f>
        <v>5</v>
      </c>
      <c r="W4" s="16">
        <v>0</v>
      </c>
      <c r="X4" s="16">
        <v>1</v>
      </c>
      <c r="Y4" s="46">
        <f>+IF((X4+W4)=1,Factores!$C$9,0)</f>
        <v>5</v>
      </c>
      <c r="Z4" s="25">
        <v>4</v>
      </c>
      <c r="AA4" s="48">
        <f t="shared" si="0"/>
        <v>0.5</v>
      </c>
      <c r="AB4" s="16">
        <v>1</v>
      </c>
      <c r="AC4" s="54">
        <f>+IF(AB4=1,Factores!$C$11,IF(AA4=0.5,(Factores!$C$11/2),0))</f>
        <v>5</v>
      </c>
      <c r="AD4" s="49">
        <v>0</v>
      </c>
      <c r="AE4" s="66">
        <f>+IF(AD4&lt;0,0,Factores!$C$12)</f>
        <v>5</v>
      </c>
      <c r="AF4" s="72">
        <f t="shared" si="1"/>
        <v>78.892343678685535</v>
      </c>
      <c r="AG4" s="4" t="s">
        <v>118</v>
      </c>
      <c r="AH4" s="4" t="s">
        <v>138</v>
      </c>
    </row>
    <row r="5" spans="1:34" s="3" customFormat="1" ht="57.75" customHeight="1" thickBot="1" x14ac:dyDescent="0.3">
      <c r="A5" s="84">
        <v>4</v>
      </c>
      <c r="B5" s="80">
        <v>4.7109804500000001</v>
      </c>
      <c r="C5" s="80">
        <v>-74.13694332</v>
      </c>
      <c r="D5" s="16" t="s">
        <v>99</v>
      </c>
      <c r="E5" s="16" t="s">
        <v>86</v>
      </c>
      <c r="F5" s="81" t="s">
        <v>100</v>
      </c>
      <c r="G5" s="82" t="s">
        <v>10</v>
      </c>
      <c r="H5" s="83">
        <v>37987</v>
      </c>
      <c r="I5" s="85">
        <v>4838.6380127556013</v>
      </c>
      <c r="J5" s="30">
        <v>3.8832072611528157E-2</v>
      </c>
      <c r="K5" s="56">
        <v>17550</v>
      </c>
      <c r="L5" s="60">
        <f>((K5-$K$56)/($K$55-$K$56))*Factores!$C$4</f>
        <v>15</v>
      </c>
      <c r="M5" s="16">
        <v>2</v>
      </c>
      <c r="N5" s="54">
        <f>+IF(OR(M5=3,M5=2,M5=1),Factores!$C$5,0)</f>
        <v>10</v>
      </c>
      <c r="O5" s="16">
        <v>0</v>
      </c>
      <c r="P5" s="46">
        <f>+IF(O5=1,Factores!$C$6,0)</f>
        <v>0</v>
      </c>
      <c r="Q5" s="16">
        <v>1</v>
      </c>
      <c r="R5" s="46">
        <f>+IF(Q5=1,Factores!$C$7,0)</f>
        <v>10</v>
      </c>
      <c r="S5" s="16">
        <v>1</v>
      </c>
      <c r="T5" s="46">
        <f>+IF(S5=1,Factores!$C$8,0)</f>
        <v>20</v>
      </c>
      <c r="U5" s="16">
        <v>0</v>
      </c>
      <c r="V5" s="46">
        <f>+IF(U5=1,Factores!$C$9,0)</f>
        <v>0</v>
      </c>
      <c r="W5" s="16">
        <v>0</v>
      </c>
      <c r="X5" s="16">
        <v>1</v>
      </c>
      <c r="Y5" s="46">
        <f>+IF((X5+W5)=1,Factores!$C$9,0)</f>
        <v>5</v>
      </c>
      <c r="Z5" s="25">
        <v>10</v>
      </c>
      <c r="AA5" s="48">
        <f t="shared" si="0"/>
        <v>0.5</v>
      </c>
      <c r="AB5" s="16">
        <v>0</v>
      </c>
      <c r="AC5" s="54">
        <f>+IF(AB5=1,Factores!$C$11,IF(AA5=0.5,(Factores!$C$11/2),0))</f>
        <v>2.5</v>
      </c>
      <c r="AD5" s="49">
        <v>0</v>
      </c>
      <c r="AE5" s="66">
        <f>+IF(AD5&lt;0,0,Factores!$C$12)</f>
        <v>5</v>
      </c>
      <c r="AF5" s="72">
        <f t="shared" si="1"/>
        <v>67.5</v>
      </c>
      <c r="AG5" s="4" t="s">
        <v>139</v>
      </c>
    </row>
    <row r="6" spans="1:34" s="3" customFormat="1" ht="57.75" customHeight="1" thickBot="1" x14ac:dyDescent="0.3">
      <c r="A6" s="84">
        <v>5</v>
      </c>
      <c r="B6" s="80">
        <v>4.6700913890000004</v>
      </c>
      <c r="C6" s="80">
        <v>-74.098914690000001</v>
      </c>
      <c r="D6" s="16" t="s">
        <v>94</v>
      </c>
      <c r="E6" s="16" t="s">
        <v>31</v>
      </c>
      <c r="F6" s="81" t="s">
        <v>95</v>
      </c>
      <c r="G6" s="82" t="s">
        <v>10</v>
      </c>
      <c r="H6" s="83">
        <v>37987</v>
      </c>
      <c r="I6" s="85">
        <v>4872.6846917958892</v>
      </c>
      <c r="J6" s="30">
        <v>3.638302565724378E-2</v>
      </c>
      <c r="K6" s="56">
        <v>5777</v>
      </c>
      <c r="L6" s="60">
        <f>((K6-$K$56)/($K$55-$K$56))*Factores!$C$4</f>
        <v>4.9249771793701509</v>
      </c>
      <c r="M6" s="16">
        <v>3</v>
      </c>
      <c r="N6" s="54">
        <f>+IF(OR(M6=3,M6=2,M6=1),Factores!$C$5,0)</f>
        <v>10</v>
      </c>
      <c r="O6" s="16">
        <v>0</v>
      </c>
      <c r="P6" s="46">
        <f>+IF(O6=1,Factores!$C$6,0)</f>
        <v>0</v>
      </c>
      <c r="Q6" s="16">
        <v>1</v>
      </c>
      <c r="R6" s="46">
        <f>+IF(Q6=1,Factores!$C$7,0)</f>
        <v>10</v>
      </c>
      <c r="S6" s="16">
        <v>1</v>
      </c>
      <c r="T6" s="46">
        <f>+IF(S6=1,Factores!$C$8,0)</f>
        <v>20</v>
      </c>
      <c r="U6" s="16">
        <v>1</v>
      </c>
      <c r="V6" s="46">
        <f>+IF(U6=1,Factores!$C$9,0)</f>
        <v>5</v>
      </c>
      <c r="W6" s="16">
        <v>0</v>
      </c>
      <c r="X6" s="16">
        <v>1</v>
      </c>
      <c r="Y6" s="46">
        <f>+IF((X6+W6)=1,Factores!$C$9,0)</f>
        <v>5</v>
      </c>
      <c r="Z6" s="25">
        <v>8</v>
      </c>
      <c r="AA6" s="48">
        <f t="shared" si="0"/>
        <v>0.5</v>
      </c>
      <c r="AB6" s="16">
        <v>1</v>
      </c>
      <c r="AC6" s="54">
        <f>+IF(AB6=1,Factores!$C$11,IF(AA6=0.5,(Factores!$C$11/2),0))</f>
        <v>5</v>
      </c>
      <c r="AD6" s="49">
        <v>0</v>
      </c>
      <c r="AE6" s="66">
        <f>+IF(AD6&lt;0,0,Factores!$C$12)</f>
        <v>5</v>
      </c>
      <c r="AF6" s="72">
        <f t="shared" si="1"/>
        <v>64.92497717937016</v>
      </c>
      <c r="AG6" s="4" t="s">
        <v>121</v>
      </c>
      <c r="AH6" s="4" t="s">
        <v>120</v>
      </c>
    </row>
    <row r="7" spans="1:34" s="7" customFormat="1" ht="57.75" customHeight="1" thickBot="1" x14ac:dyDescent="0.3">
      <c r="A7" s="84">
        <v>6</v>
      </c>
      <c r="B7" s="80">
        <v>4.6927002760000001</v>
      </c>
      <c r="C7" s="80">
        <v>-74.103844530000003</v>
      </c>
      <c r="D7" s="16" t="s">
        <v>90</v>
      </c>
      <c r="E7" s="16" t="s">
        <v>12</v>
      </c>
      <c r="F7" s="81" t="s">
        <v>91</v>
      </c>
      <c r="G7" s="82" t="s">
        <v>10</v>
      </c>
      <c r="H7" s="83">
        <v>37987</v>
      </c>
      <c r="I7" s="85">
        <v>5330.4653636241983</v>
      </c>
      <c r="J7" s="31">
        <v>4.1256604912869442E-2</v>
      </c>
      <c r="K7" s="57">
        <v>9131</v>
      </c>
      <c r="L7" s="60">
        <f>((K7-$K$56)/($K$55-$K$56))*Factores!$C$4</f>
        <v>7.7952418986764034</v>
      </c>
      <c r="M7" s="17">
        <v>3</v>
      </c>
      <c r="N7" s="54">
        <f>+IF(OR(M7=3,M7=2,M7=1),Factores!$C$5,0)</f>
        <v>10</v>
      </c>
      <c r="O7" s="17">
        <v>1</v>
      </c>
      <c r="P7" s="46">
        <f>+IF(O7=1,Factores!$C$6,0)</f>
        <v>10</v>
      </c>
      <c r="Q7" s="17">
        <v>1</v>
      </c>
      <c r="R7" s="46">
        <f>+IF(Q7=1,Factores!$C$7,0)</f>
        <v>10</v>
      </c>
      <c r="S7" s="17">
        <v>1</v>
      </c>
      <c r="T7" s="46">
        <f>+IF(S7=1,Factores!$C$8,0)</f>
        <v>20</v>
      </c>
      <c r="U7" s="17">
        <v>0</v>
      </c>
      <c r="V7" s="46">
        <f>+IF(U7=1,Factores!$C$9,0)</f>
        <v>0</v>
      </c>
      <c r="W7" s="17">
        <v>0</v>
      </c>
      <c r="X7" s="17">
        <v>1</v>
      </c>
      <c r="Y7" s="46">
        <f>+IF((X7+W7)=1,Factores!$C$9,0)</f>
        <v>5</v>
      </c>
      <c r="Z7" s="26">
        <v>11</v>
      </c>
      <c r="AA7" s="48">
        <f t="shared" si="0"/>
        <v>0.5</v>
      </c>
      <c r="AB7" s="17">
        <v>1</v>
      </c>
      <c r="AC7" s="54">
        <f>+IF(AB7=1,Factores!$C$11,IF(AA7=0.5,(Factores!$C$11/2),0))</f>
        <v>5</v>
      </c>
      <c r="AD7" s="51">
        <v>0</v>
      </c>
      <c r="AE7" s="66">
        <f>+IF(AD7&lt;0,0,Factores!$C$12)</f>
        <v>5</v>
      </c>
      <c r="AF7" s="72">
        <f t="shared" si="1"/>
        <v>72.795241898676409</v>
      </c>
      <c r="AG7" s="8" t="s">
        <v>122</v>
      </c>
      <c r="AH7" s="8" t="s">
        <v>140</v>
      </c>
    </row>
    <row r="8" spans="1:34" s="3" customFormat="1" ht="57.75" customHeight="1" thickBot="1" x14ac:dyDescent="0.3">
      <c r="A8" s="84">
        <v>7</v>
      </c>
      <c r="B8" s="80">
        <v>4.6863420519999996</v>
      </c>
      <c r="C8" s="80">
        <v>-74.085994150000005</v>
      </c>
      <c r="D8" s="16" t="s">
        <v>103</v>
      </c>
      <c r="E8" s="16" t="s">
        <v>31</v>
      </c>
      <c r="F8" s="81" t="s">
        <v>104</v>
      </c>
      <c r="G8" s="82" t="s">
        <v>10</v>
      </c>
      <c r="H8" s="83">
        <v>37987</v>
      </c>
      <c r="I8" s="85">
        <v>5509.1735949318163</v>
      </c>
      <c r="J8" s="32">
        <v>2.6925629446176394E-2</v>
      </c>
      <c r="K8" s="56">
        <v>8054</v>
      </c>
      <c r="L8" s="60">
        <f>((K8-$K$56)/($K$55-$K$56))*Factores!$C$4</f>
        <v>6.8735737106344139</v>
      </c>
      <c r="M8" s="16">
        <v>3</v>
      </c>
      <c r="N8" s="54">
        <f>+IF(OR(M8=3,M8=2,M8=1),Factores!$C$5,0)</f>
        <v>10</v>
      </c>
      <c r="O8" s="16">
        <v>1</v>
      </c>
      <c r="P8" s="46">
        <f>+IF(O8=1,Factores!$C$6,0)</f>
        <v>10</v>
      </c>
      <c r="Q8" s="16">
        <v>1</v>
      </c>
      <c r="R8" s="46">
        <f>+IF(Q8=1,Factores!$C$7,0)</f>
        <v>10</v>
      </c>
      <c r="S8" s="16">
        <v>1</v>
      </c>
      <c r="T8" s="46">
        <f>+IF(S8=1,Factores!$C$8,0)</f>
        <v>20</v>
      </c>
      <c r="U8" s="16">
        <v>1</v>
      </c>
      <c r="V8" s="46">
        <f>+IF(U8=1,Factores!$C$9,0)</f>
        <v>5</v>
      </c>
      <c r="W8" s="16">
        <v>0</v>
      </c>
      <c r="X8" s="16">
        <v>0</v>
      </c>
      <c r="Y8" s="46">
        <f>+IF((X8+W8)=1,Factores!$C$9,0)</f>
        <v>0</v>
      </c>
      <c r="Z8" s="25">
        <v>4</v>
      </c>
      <c r="AA8" s="48">
        <f t="shared" si="0"/>
        <v>0.5</v>
      </c>
      <c r="AB8" s="16">
        <v>1</v>
      </c>
      <c r="AC8" s="54">
        <f>+IF(AB8=1,Factores!$C$11,IF(AA8=0.5,(Factores!$C$11/2),0))</f>
        <v>5</v>
      </c>
      <c r="AD8" s="49">
        <v>-2</v>
      </c>
      <c r="AE8" s="66">
        <f>+IF(AD8&lt;0,0,Factores!$C$12)</f>
        <v>0</v>
      </c>
      <c r="AF8" s="72">
        <f t="shared" si="1"/>
        <v>66.873573710634417</v>
      </c>
      <c r="AG8" s="4" t="s">
        <v>123</v>
      </c>
      <c r="AH8" s="4" t="s">
        <v>141</v>
      </c>
    </row>
    <row r="9" spans="1:34" s="10" customFormat="1" ht="57.75" customHeight="1" thickBot="1" x14ac:dyDescent="0.3">
      <c r="A9" s="84">
        <v>8</v>
      </c>
      <c r="B9" s="80">
        <v>4.6982076890000002</v>
      </c>
      <c r="C9" s="80">
        <v>-74.08521107</v>
      </c>
      <c r="D9" s="16" t="s">
        <v>107</v>
      </c>
      <c r="E9" s="16" t="s">
        <v>108</v>
      </c>
      <c r="F9" s="81" t="s">
        <v>109</v>
      </c>
      <c r="G9" s="82" t="s">
        <v>10</v>
      </c>
      <c r="H9" s="83">
        <v>42735</v>
      </c>
      <c r="I9" s="85">
        <v>5738.1344673681679</v>
      </c>
      <c r="J9" s="33">
        <v>1.5284202135259215E-4</v>
      </c>
      <c r="K9" s="58">
        <v>22</v>
      </c>
      <c r="L9" s="60">
        <f>((K9-$K$56)/($K$55-$K$56))*Factores!$C$4</f>
        <v>0</v>
      </c>
      <c r="M9" s="9">
        <v>4</v>
      </c>
      <c r="N9" s="54">
        <f>+IF(OR(M9=3,M9=2,M9=1),Factores!$C$5,0)</f>
        <v>0</v>
      </c>
      <c r="O9" s="9">
        <v>1</v>
      </c>
      <c r="P9" s="46">
        <f>+IF(O9=1,Factores!$C$6,0)</f>
        <v>10</v>
      </c>
      <c r="Q9" s="9">
        <v>1</v>
      </c>
      <c r="R9" s="46">
        <f>+IF(Q9=1,Factores!$C$7,0)</f>
        <v>10</v>
      </c>
      <c r="S9" s="9">
        <v>1</v>
      </c>
      <c r="T9" s="46">
        <f>+IF(S9=1,Factores!$C$8,0)</f>
        <v>20</v>
      </c>
      <c r="U9" s="9">
        <v>0</v>
      </c>
      <c r="V9" s="46">
        <f>+IF(U9=1,Factores!$C$9,0)</f>
        <v>0</v>
      </c>
      <c r="W9" s="9">
        <v>0</v>
      </c>
      <c r="X9" s="9">
        <v>1</v>
      </c>
      <c r="Y9" s="46">
        <f>+IF((X9+W9)=1,Factores!$C$9,0)</f>
        <v>5</v>
      </c>
      <c r="Z9" s="27">
        <v>6</v>
      </c>
      <c r="AA9" s="48">
        <f t="shared" si="0"/>
        <v>0.5</v>
      </c>
      <c r="AB9" s="9">
        <v>0</v>
      </c>
      <c r="AC9" s="54">
        <f>+IF(AB9=1,Factores!$C$11,IF(AA9=0.5,(Factores!$C$11/2),0))</f>
        <v>2.5</v>
      </c>
      <c r="AD9" s="50">
        <v>0</v>
      </c>
      <c r="AE9" s="66">
        <f>+IF(AD9&lt;0,0,Factores!$C$12)</f>
        <v>5</v>
      </c>
      <c r="AF9" s="72">
        <f t="shared" si="1"/>
        <v>52.5</v>
      </c>
      <c r="AG9" s="14"/>
    </row>
    <row r="10" spans="1:34" s="10" customFormat="1" ht="57.75" customHeight="1" thickBot="1" x14ac:dyDescent="0.3">
      <c r="A10" s="84">
        <v>9</v>
      </c>
      <c r="B10" s="80">
        <v>4.7136118337553299</v>
      </c>
      <c r="C10" s="80">
        <v>-74.113714409843894</v>
      </c>
      <c r="D10" s="16" t="s">
        <v>33</v>
      </c>
      <c r="E10" s="16" t="s">
        <v>22</v>
      </c>
      <c r="F10" s="81" t="s">
        <v>34</v>
      </c>
      <c r="G10" s="82" t="s">
        <v>10</v>
      </c>
      <c r="H10" s="83">
        <v>37987</v>
      </c>
      <c r="I10" s="85">
        <v>5829.4294500937131</v>
      </c>
      <c r="J10" s="33">
        <v>2.8475730738498621E-2</v>
      </c>
      <c r="K10" s="58">
        <v>10084.999995942597</v>
      </c>
      <c r="L10" s="60">
        <f>((K10-$K$56)/($K$55-$K$56))*Factores!$C$4</f>
        <v>8.6116499280658907</v>
      </c>
      <c r="M10" s="9">
        <v>3</v>
      </c>
      <c r="N10" s="54">
        <f>+IF(OR(M10=3,M10=2,M10=1),Factores!$C$5,0)</f>
        <v>10</v>
      </c>
      <c r="O10" s="9">
        <v>0</v>
      </c>
      <c r="P10" s="46">
        <f>+IF(O10=1,Factores!$C$6,0)</f>
        <v>0</v>
      </c>
      <c r="Q10" s="9">
        <v>0</v>
      </c>
      <c r="R10" s="46">
        <f>+IF(Q10=1,Factores!$C$7,0)</f>
        <v>0</v>
      </c>
      <c r="S10" s="9">
        <v>0</v>
      </c>
      <c r="T10" s="46">
        <f>+IF(S10=1,Factores!$C$8,0)</f>
        <v>0</v>
      </c>
      <c r="U10" s="9">
        <v>0</v>
      </c>
      <c r="V10" s="46">
        <f>+IF(U10=1,Factores!$C$9,0)</f>
        <v>0</v>
      </c>
      <c r="W10" s="9">
        <v>0</v>
      </c>
      <c r="X10" s="9">
        <v>1</v>
      </c>
      <c r="Y10" s="46">
        <f>+IF((X10+W10)=1,Factores!$C$9,0)</f>
        <v>5</v>
      </c>
      <c r="Z10" s="27">
        <v>10</v>
      </c>
      <c r="AA10" s="48">
        <f t="shared" si="0"/>
        <v>0.5</v>
      </c>
      <c r="AB10" s="9">
        <v>0</v>
      </c>
      <c r="AC10" s="54">
        <f>+IF(AB10=1,Factores!$C$11,IF(AA10=0.5,(Factores!$C$11/2),0))</f>
        <v>2.5</v>
      </c>
      <c r="AD10" s="50">
        <v>0</v>
      </c>
      <c r="AE10" s="66">
        <f>+IF(AD10&lt;0,0,Factores!$C$12)</f>
        <v>5</v>
      </c>
      <c r="AF10" s="72">
        <f t="shared" si="1"/>
        <v>31.111649928065891</v>
      </c>
      <c r="AG10" s="14"/>
    </row>
    <row r="11" spans="1:34" s="3" customFormat="1" ht="57.75" customHeight="1" thickBot="1" x14ac:dyDescent="0.3">
      <c r="A11" s="84">
        <v>10</v>
      </c>
      <c r="B11" s="80">
        <v>4.6937420110000003</v>
      </c>
      <c r="C11" s="80">
        <v>-74.110970550000005</v>
      </c>
      <c r="D11" s="16" t="s">
        <v>79</v>
      </c>
      <c r="E11" s="16" t="s">
        <v>12</v>
      </c>
      <c r="F11" s="81" t="s">
        <v>80</v>
      </c>
      <c r="G11" s="82" t="s">
        <v>10</v>
      </c>
      <c r="H11" s="83">
        <v>37987</v>
      </c>
      <c r="I11" s="85">
        <v>5918.0680772032047</v>
      </c>
      <c r="J11" s="32">
        <v>4.5778155134477701E-2</v>
      </c>
      <c r="K11" s="56">
        <v>12978</v>
      </c>
      <c r="L11" s="60">
        <f>((K11-$K$56)/($K$55-$K$56))*Factores!$C$4</f>
        <v>11.08740301232314</v>
      </c>
      <c r="M11" s="16">
        <v>3</v>
      </c>
      <c r="N11" s="54">
        <f>+IF(OR(M11=3,M11=2,M11=1),Factores!$C$5,0)</f>
        <v>10</v>
      </c>
      <c r="O11" s="16">
        <v>1</v>
      </c>
      <c r="P11" s="46">
        <f>+IF(O11=1,Factores!$C$6,0)</f>
        <v>10</v>
      </c>
      <c r="Q11" s="16">
        <v>1</v>
      </c>
      <c r="R11" s="46">
        <f>+IF(Q11=1,Factores!$C$7,0)</f>
        <v>10</v>
      </c>
      <c r="S11" s="16">
        <v>1</v>
      </c>
      <c r="T11" s="46">
        <f>+IF(S11=1,Factores!$C$8,0)</f>
        <v>20</v>
      </c>
      <c r="U11" s="16">
        <v>1</v>
      </c>
      <c r="V11" s="46">
        <f>+IF(U11=1,Factores!$C$9,0)</f>
        <v>5</v>
      </c>
      <c r="W11" s="16">
        <v>0</v>
      </c>
      <c r="X11" s="16">
        <v>1</v>
      </c>
      <c r="Y11" s="46">
        <f>+IF((X11+W11)=1,Factores!$C$9,0)</f>
        <v>5</v>
      </c>
      <c r="Z11" s="25">
        <v>9</v>
      </c>
      <c r="AA11" s="48">
        <f t="shared" si="0"/>
        <v>0.5</v>
      </c>
      <c r="AB11" s="16">
        <v>1</v>
      </c>
      <c r="AC11" s="54">
        <f>+IF(AB11=1,Factores!$C$11,IF(AA11=0.5,(Factores!$C$11/2),0))</f>
        <v>5</v>
      </c>
      <c r="AD11" s="49">
        <v>-1</v>
      </c>
      <c r="AE11" s="66">
        <f>+IF(AD11&lt;0,0,Factores!$C$12)</f>
        <v>0</v>
      </c>
      <c r="AF11" s="72">
        <f t="shared" si="1"/>
        <v>76.087403012323136</v>
      </c>
      <c r="AG11" s="4" t="s">
        <v>128</v>
      </c>
      <c r="AH11" s="4" t="s">
        <v>124</v>
      </c>
    </row>
    <row r="12" spans="1:34" s="3" customFormat="1" ht="57.75" customHeight="1" thickBot="1" x14ac:dyDescent="0.3">
      <c r="A12" s="84">
        <v>11</v>
      </c>
      <c r="B12" s="80">
        <v>4.7066649580000002</v>
      </c>
      <c r="C12" s="80">
        <v>-74.107915700000007</v>
      </c>
      <c r="D12" s="16" t="s">
        <v>52</v>
      </c>
      <c r="E12" s="16" t="s">
        <v>53</v>
      </c>
      <c r="F12" s="81" t="s">
        <v>54</v>
      </c>
      <c r="G12" s="82" t="s">
        <v>10</v>
      </c>
      <c r="H12" s="83">
        <v>37987</v>
      </c>
      <c r="I12" s="85">
        <v>6167.4940347502024</v>
      </c>
      <c r="J12" s="30">
        <v>3.010988703185646E-2</v>
      </c>
      <c r="K12" s="56">
        <v>7368</v>
      </c>
      <c r="L12" s="60">
        <f>((K12-$K$56)/($K$55-$K$56))*Factores!$C$4</f>
        <v>6.2865130077590141</v>
      </c>
      <c r="M12" s="16">
        <v>3</v>
      </c>
      <c r="N12" s="54">
        <f>+IF(OR(M12=3,M12=2,M12=1),Factores!$C$5,0)</f>
        <v>10</v>
      </c>
      <c r="O12" s="16">
        <v>0</v>
      </c>
      <c r="P12" s="46">
        <f>+IF(O12=1,Factores!$C$6,0)</f>
        <v>0</v>
      </c>
      <c r="Q12" s="16">
        <v>1</v>
      </c>
      <c r="R12" s="46">
        <f>+IF(Q12=1,Factores!$C$7,0)</f>
        <v>10</v>
      </c>
      <c r="S12" s="16">
        <v>1</v>
      </c>
      <c r="T12" s="46">
        <f>+IF(S12=1,Factores!$C$8,0)</f>
        <v>20</v>
      </c>
      <c r="U12" s="16">
        <v>1</v>
      </c>
      <c r="V12" s="46">
        <f>+IF(U12=1,Factores!$C$9,0)</f>
        <v>5</v>
      </c>
      <c r="W12" s="16">
        <v>0</v>
      </c>
      <c r="X12" s="16">
        <v>1</v>
      </c>
      <c r="Y12" s="46">
        <f>+IF((X12+W12)=1,Factores!$C$9,0)</f>
        <v>5</v>
      </c>
      <c r="Z12" s="25">
        <v>8</v>
      </c>
      <c r="AA12" s="48">
        <f t="shared" si="0"/>
        <v>0.5</v>
      </c>
      <c r="AB12" s="16">
        <v>1</v>
      </c>
      <c r="AC12" s="54">
        <f>+IF(AB12=1,Factores!$C$11,IF(AA12=0.5,(Factores!$C$11/2),0))</f>
        <v>5</v>
      </c>
      <c r="AD12" s="49">
        <v>-2</v>
      </c>
      <c r="AE12" s="66">
        <f>+IF(AD12&lt;0,0,Factores!$C$12)</f>
        <v>0</v>
      </c>
      <c r="AF12" s="72">
        <f t="shared" si="1"/>
        <v>61.286513007759012</v>
      </c>
      <c r="AG12" s="4" t="s">
        <v>125</v>
      </c>
      <c r="AH12" s="4" t="s">
        <v>126</v>
      </c>
    </row>
    <row r="13" spans="1:34" s="3" customFormat="1" ht="57.75" customHeight="1" thickBot="1" x14ac:dyDescent="0.3">
      <c r="A13" s="84">
        <v>12</v>
      </c>
      <c r="B13" s="80">
        <v>4.7104540950000002</v>
      </c>
      <c r="C13" s="80">
        <v>-74.100076450000003</v>
      </c>
      <c r="D13" s="16" t="s">
        <v>64</v>
      </c>
      <c r="E13" s="16" t="s">
        <v>53</v>
      </c>
      <c r="F13" s="81" t="s">
        <v>54</v>
      </c>
      <c r="G13" s="82" t="s">
        <v>10</v>
      </c>
      <c r="H13" s="83">
        <v>37987</v>
      </c>
      <c r="I13" s="85">
        <v>6176.5030295126944</v>
      </c>
      <c r="J13" s="30">
        <v>5.2846033929233156E-2</v>
      </c>
      <c r="K13" s="56">
        <v>11964</v>
      </c>
      <c r="L13" s="60">
        <f>((K13-$K$56)/($K$55-$K$56))*Factores!$C$4</f>
        <v>10.219648562300319</v>
      </c>
      <c r="M13" s="16">
        <v>3</v>
      </c>
      <c r="N13" s="54">
        <f>+IF(OR(M13=3,M13=2,M13=1),Factores!$C$5,0)</f>
        <v>10</v>
      </c>
      <c r="O13" s="16">
        <v>1</v>
      </c>
      <c r="P13" s="46">
        <f>+IF(O13=1,Factores!$C$6,0)</f>
        <v>10</v>
      </c>
      <c r="Q13" s="16">
        <v>0</v>
      </c>
      <c r="R13" s="46">
        <f>+IF(Q13=1,Factores!$C$7,0)</f>
        <v>0</v>
      </c>
      <c r="S13" s="16">
        <v>0</v>
      </c>
      <c r="T13" s="46">
        <f>+IF(S13=1,Factores!$C$8,0)</f>
        <v>0</v>
      </c>
      <c r="U13" s="16">
        <v>1</v>
      </c>
      <c r="V13" s="46">
        <f>+IF(U13=1,Factores!$C$9,0)</f>
        <v>5</v>
      </c>
      <c r="W13" s="16">
        <v>0</v>
      </c>
      <c r="X13" s="16">
        <v>1</v>
      </c>
      <c r="Y13" s="46">
        <f>+IF((X13+W13)=1,Factores!$C$9,0)</f>
        <v>5</v>
      </c>
      <c r="Z13" s="25">
        <v>1</v>
      </c>
      <c r="AA13" s="48">
        <f t="shared" si="0"/>
        <v>0.5</v>
      </c>
      <c r="AB13" s="16">
        <v>1</v>
      </c>
      <c r="AC13" s="54">
        <f>+IF(AB13=1,Factores!$C$11,IF(AA13=0.5,(Factores!C10/2),0))</f>
        <v>5</v>
      </c>
      <c r="AD13" s="49">
        <v>0</v>
      </c>
      <c r="AE13" s="66">
        <f>+IF(AD13&lt;0,0,Factores!$C$12)</f>
        <v>5</v>
      </c>
      <c r="AF13" s="72">
        <f t="shared" si="1"/>
        <v>50.219648562300321</v>
      </c>
      <c r="AG13" s="4" t="s">
        <v>129</v>
      </c>
      <c r="AH13" s="4" t="s">
        <v>127</v>
      </c>
    </row>
    <row r="14" spans="1:34" s="3" customFormat="1" ht="57.75" customHeight="1" thickBot="1" x14ac:dyDescent="0.3">
      <c r="A14" s="84">
        <v>13</v>
      </c>
      <c r="B14" s="80">
        <v>4.6985695779999999</v>
      </c>
      <c r="C14" s="80">
        <v>-74.097257769999999</v>
      </c>
      <c r="D14" s="16" t="s">
        <v>45</v>
      </c>
      <c r="E14" s="16" t="s">
        <v>12</v>
      </c>
      <c r="F14" s="81" t="s">
        <v>46</v>
      </c>
      <c r="G14" s="82" t="s">
        <v>10</v>
      </c>
      <c r="H14" s="83">
        <v>37987</v>
      </c>
      <c r="I14" s="85">
        <v>6315.5988998939538</v>
      </c>
      <c r="J14" s="30">
        <v>2.883514040450574E-2</v>
      </c>
      <c r="K14" s="56">
        <v>8079</v>
      </c>
      <c r="L14" s="60">
        <f>((K14-$K$56)/($K$55-$K$56))*Factores!$C$4</f>
        <v>6.8949680511182105</v>
      </c>
      <c r="M14" s="16">
        <v>3</v>
      </c>
      <c r="N14" s="54">
        <f>+IF(OR(M14=3,M14=2,M14=1),Factores!$C$5,0)</f>
        <v>10</v>
      </c>
      <c r="O14" s="16">
        <v>1</v>
      </c>
      <c r="P14" s="46">
        <f>+IF(O14=1,Factores!$C$6,0)</f>
        <v>10</v>
      </c>
      <c r="Q14" s="16">
        <v>1</v>
      </c>
      <c r="R14" s="46">
        <f>+IF(Q14=1,Factores!$C$7,0)</f>
        <v>10</v>
      </c>
      <c r="S14" s="16">
        <v>1</v>
      </c>
      <c r="T14" s="46">
        <f>+IF(S14=1,Factores!$C$8,0)</f>
        <v>20</v>
      </c>
      <c r="U14" s="16">
        <v>1</v>
      </c>
      <c r="V14" s="46">
        <f>+IF(U14=1,Factores!$C$9,0)</f>
        <v>5</v>
      </c>
      <c r="W14" s="16">
        <v>-1</v>
      </c>
      <c r="X14" s="16">
        <v>1</v>
      </c>
      <c r="Y14" s="46">
        <f>+IF((X14+W14)=1,Factores!$C$9,0)</f>
        <v>0</v>
      </c>
      <c r="Z14" s="25">
        <v>5</v>
      </c>
      <c r="AA14" s="48">
        <f t="shared" si="0"/>
        <v>0.5</v>
      </c>
      <c r="AB14" s="16">
        <v>1</v>
      </c>
      <c r="AC14" s="54">
        <f>+IF(AB14=1,Factores!$C$11,IF(AA14=0.5,(Factores!$C$11/2),0))</f>
        <v>5</v>
      </c>
      <c r="AD14" s="49">
        <v>0</v>
      </c>
      <c r="AE14" s="66">
        <f>+IF(AD14&lt;0,0,Factores!$C$12)</f>
        <v>5</v>
      </c>
      <c r="AF14" s="72">
        <f t="shared" si="1"/>
        <v>71.894968051118212</v>
      </c>
      <c r="AG14" s="4" t="s">
        <v>131</v>
      </c>
      <c r="AH14" s="4" t="s">
        <v>130</v>
      </c>
    </row>
    <row r="15" spans="1:34" s="3" customFormat="1" ht="57.75" customHeight="1" thickBot="1" x14ac:dyDescent="0.3">
      <c r="A15" s="84">
        <v>14</v>
      </c>
      <c r="B15" s="80">
        <v>4.6895238690000003</v>
      </c>
      <c r="C15" s="80">
        <v>-74.082959599999995</v>
      </c>
      <c r="D15" s="16" t="s">
        <v>41</v>
      </c>
      <c r="E15" s="16" t="s">
        <v>31</v>
      </c>
      <c r="F15" s="81" t="s">
        <v>42</v>
      </c>
      <c r="G15" s="82" t="s">
        <v>10</v>
      </c>
      <c r="H15" s="83">
        <v>38857</v>
      </c>
      <c r="I15" s="85">
        <v>6414.2865330706063</v>
      </c>
      <c r="J15" s="30">
        <v>1.6149761664671997E-2</v>
      </c>
      <c r="K15" s="56">
        <v>4478</v>
      </c>
      <c r="L15" s="60">
        <f>((K15-$K$56)/($K$55-$K$56))*Factores!$C$4</f>
        <v>3.8133272478320399</v>
      </c>
      <c r="M15" s="16">
        <v>3</v>
      </c>
      <c r="N15" s="54">
        <f>+IF(OR(M15=3,M15=2,M15=1),Factores!$C$5,0)</f>
        <v>10</v>
      </c>
      <c r="O15" s="16">
        <v>1</v>
      </c>
      <c r="P15" s="46">
        <f>+IF(O15=1,Factores!$C$6,0)</f>
        <v>10</v>
      </c>
      <c r="Q15" s="16">
        <v>1</v>
      </c>
      <c r="R15" s="46">
        <f>+IF(Q15=1,Factores!$C$7,0)</f>
        <v>10</v>
      </c>
      <c r="S15" s="16">
        <v>0</v>
      </c>
      <c r="T15" s="46">
        <f>+IF(S15=1,Factores!$C$8,0)</f>
        <v>0</v>
      </c>
      <c r="U15" s="16">
        <v>0</v>
      </c>
      <c r="V15" s="46">
        <f>+IF(U15=1,Factores!$C$9,0)</f>
        <v>0</v>
      </c>
      <c r="W15" s="16">
        <v>-1</v>
      </c>
      <c r="X15" s="16">
        <v>1</v>
      </c>
      <c r="Y15" s="46">
        <f>+IF((X15+W15)=1,Factores!$C$9,0)</f>
        <v>0</v>
      </c>
      <c r="Z15" s="25">
        <v>4</v>
      </c>
      <c r="AA15" s="48">
        <f t="shared" si="0"/>
        <v>0.5</v>
      </c>
      <c r="AB15" s="16">
        <v>1</v>
      </c>
      <c r="AC15" s="54">
        <f>+IF(AB15=1,Factores!$C$11,IF(AA15=0.5,(Factores!$C$11/2),0))</f>
        <v>5</v>
      </c>
      <c r="AD15" s="49">
        <v>-1</v>
      </c>
      <c r="AE15" s="66">
        <f>+IF(AD15&lt;0,0,Factores!$C$12)</f>
        <v>0</v>
      </c>
      <c r="AF15" s="72">
        <f t="shared" si="1"/>
        <v>38.813327247832042</v>
      </c>
      <c r="AG15" s="4" t="s">
        <v>132</v>
      </c>
      <c r="AH15" s="11" t="s">
        <v>133</v>
      </c>
    </row>
    <row r="16" spans="1:34" s="3" customFormat="1" ht="57.75" customHeight="1" thickBot="1" x14ac:dyDescent="0.3">
      <c r="A16" s="84">
        <v>15</v>
      </c>
      <c r="B16" s="80">
        <v>4.7138086010000002</v>
      </c>
      <c r="C16" s="80">
        <v>-74.127249329999998</v>
      </c>
      <c r="D16" s="16" t="s">
        <v>65</v>
      </c>
      <c r="E16" s="16" t="s">
        <v>17</v>
      </c>
      <c r="F16" s="81" t="s">
        <v>66</v>
      </c>
      <c r="G16" s="82" t="s">
        <v>10</v>
      </c>
      <c r="H16" s="83">
        <v>37987</v>
      </c>
      <c r="I16" s="85">
        <v>6665.9950672493896</v>
      </c>
      <c r="J16" s="30">
        <v>2.8356339640311205E-2</v>
      </c>
      <c r="K16" s="56">
        <v>13121</v>
      </c>
      <c r="L16" s="60">
        <f>((K16-$K$56)/($K$55-$K$56))*Factores!$C$4</f>
        <v>11.209778639890461</v>
      </c>
      <c r="M16" s="16">
        <v>3</v>
      </c>
      <c r="N16" s="54">
        <f>+IF(OR(M16=3,M16=2,M16=1),Factores!$C$5,0)</f>
        <v>10</v>
      </c>
      <c r="O16" s="16">
        <v>1</v>
      </c>
      <c r="P16" s="46">
        <f>+IF(O16=1,Factores!$C$6,0)</f>
        <v>10</v>
      </c>
      <c r="Q16" s="16">
        <v>0</v>
      </c>
      <c r="R16" s="46">
        <f>+IF(Q16=1,Factores!$C$7,0)</f>
        <v>0</v>
      </c>
      <c r="S16" s="16">
        <v>0</v>
      </c>
      <c r="T16" s="46">
        <f>+IF(S16=1,Factores!$C$8,0)</f>
        <v>0</v>
      </c>
      <c r="U16" s="16">
        <v>0</v>
      </c>
      <c r="V16" s="46">
        <f>+IF(U16=1,Factores!$C$9,0)</f>
        <v>0</v>
      </c>
      <c r="W16" s="16">
        <v>-1</v>
      </c>
      <c r="X16" s="16">
        <v>1</v>
      </c>
      <c r="Y16" s="46">
        <f>+IF((X16+W16)=1,Factores!$C$9,0)</f>
        <v>0</v>
      </c>
      <c r="Z16" s="25">
        <v>13</v>
      </c>
      <c r="AA16" s="48">
        <f t="shared" si="0"/>
        <v>0.5</v>
      </c>
      <c r="AB16" s="16">
        <v>1</v>
      </c>
      <c r="AC16" s="54">
        <f>+IF(AB16=1,Factores!$C$11,IF(AA16=0.5,(Factores!$C$11/2),0))</f>
        <v>5</v>
      </c>
      <c r="AD16" s="49">
        <v>-1</v>
      </c>
      <c r="AE16" s="66">
        <f>+IF(AD16&lt;0,0,Factores!$C$12)</f>
        <v>0</v>
      </c>
      <c r="AF16" s="72">
        <f t="shared" si="1"/>
        <v>36.209778639890459</v>
      </c>
      <c r="AG16" s="4" t="s">
        <v>134</v>
      </c>
      <c r="AH16" s="15" t="s">
        <v>143</v>
      </c>
    </row>
    <row r="17" spans="1:33" s="3" customFormat="1" ht="57.75" customHeight="1" thickBot="1" x14ac:dyDescent="0.3">
      <c r="A17" s="84">
        <v>16</v>
      </c>
      <c r="B17" s="80">
        <v>4.7129734947640198</v>
      </c>
      <c r="C17" s="80">
        <v>-74.129304947005295</v>
      </c>
      <c r="D17" s="16" t="s">
        <v>48</v>
      </c>
      <c r="E17" s="16" t="s">
        <v>17</v>
      </c>
      <c r="F17" s="81" t="s">
        <v>49</v>
      </c>
      <c r="G17" s="82" t="s">
        <v>10</v>
      </c>
      <c r="H17" s="83">
        <v>42735</v>
      </c>
      <c r="I17" s="85">
        <v>6854.7956451438276</v>
      </c>
      <c r="J17" s="30">
        <v>1.6927803579775341E-2</v>
      </c>
      <c r="K17" s="56">
        <v>8659.9999856078866</v>
      </c>
      <c r="L17" s="60">
        <f>((K17-$K$56)/($K$55-$K$56))*Factores!$C$4</f>
        <v>7.3921725116452706</v>
      </c>
      <c r="M17" s="16">
        <v>2</v>
      </c>
      <c r="N17" s="54">
        <f>+IF(OR(M17=3,M17=2,M17=1),Factores!$C$5,0)</f>
        <v>10</v>
      </c>
      <c r="O17" s="16">
        <v>0</v>
      </c>
      <c r="P17" s="46">
        <f>+IF(O17=1,Factores!$C$6,0)</f>
        <v>0</v>
      </c>
      <c r="Q17" s="16">
        <v>1</v>
      </c>
      <c r="R17" s="46">
        <f>+IF(Q17=1,Factores!$C$7,0)</f>
        <v>10</v>
      </c>
      <c r="S17" s="16">
        <v>1</v>
      </c>
      <c r="T17" s="46">
        <f>+IF(S17=1,Factores!$C$8,0)</f>
        <v>20</v>
      </c>
      <c r="U17" s="16">
        <v>0</v>
      </c>
      <c r="V17" s="46">
        <f>+IF(U17=1,Factores!$C$9,0)</f>
        <v>0</v>
      </c>
      <c r="W17" s="16">
        <v>0</v>
      </c>
      <c r="X17" s="16">
        <v>1</v>
      </c>
      <c r="Y17" s="46">
        <f>+IF((X17+W17)=1,Factores!$C$9,0)</f>
        <v>5</v>
      </c>
      <c r="Z17" s="25">
        <v>5</v>
      </c>
      <c r="AA17" s="48">
        <f t="shared" si="0"/>
        <v>0.5</v>
      </c>
      <c r="AB17" s="16">
        <v>0</v>
      </c>
      <c r="AC17" s="54">
        <f>+IF(AB17=1,Factores!$C$11,IF(AA17=0.5,(Factores!$C$11/2),0))</f>
        <v>2.5</v>
      </c>
      <c r="AD17" s="49">
        <v>0</v>
      </c>
      <c r="AE17" s="66">
        <f>+IF(AD17&lt;0,0,Factores!$C$12)</f>
        <v>5</v>
      </c>
      <c r="AF17" s="72">
        <f t="shared" si="1"/>
        <v>59.892172511645271</v>
      </c>
      <c r="AG17" s="4" t="s">
        <v>144</v>
      </c>
    </row>
    <row r="18" spans="1:33" s="3" customFormat="1" ht="57.75" customHeight="1" thickBot="1" x14ac:dyDescent="0.3">
      <c r="A18" s="84">
        <v>17</v>
      </c>
      <c r="B18" s="80">
        <v>4.6765150269999998</v>
      </c>
      <c r="C18" s="80">
        <v>-74.10051756</v>
      </c>
      <c r="D18" s="16" t="s">
        <v>60</v>
      </c>
      <c r="E18" s="16" t="s">
        <v>31</v>
      </c>
      <c r="F18" s="81" t="s">
        <v>61</v>
      </c>
      <c r="G18" s="82" t="s">
        <v>10</v>
      </c>
      <c r="H18" s="83">
        <v>37987</v>
      </c>
      <c r="I18" s="85">
        <v>7043.7771445962289</v>
      </c>
      <c r="J18" s="30">
        <v>3.657799243509896E-2</v>
      </c>
      <c r="K18" s="56">
        <v>9910</v>
      </c>
      <c r="L18" s="60">
        <f>((K18-$K$56)/($K$55-$K$56))*Factores!$C$4</f>
        <v>8.4618895481515288</v>
      </c>
      <c r="M18" s="16">
        <v>3</v>
      </c>
      <c r="N18" s="54">
        <f>+IF(OR(M18=3,M18=2,M18=1),Factores!$C$5,0)</f>
        <v>10</v>
      </c>
      <c r="O18" s="16">
        <v>0</v>
      </c>
      <c r="P18" s="46">
        <f>+IF(O18=1,Factores!$C$6,0)</f>
        <v>0</v>
      </c>
      <c r="Q18" s="16">
        <v>0</v>
      </c>
      <c r="R18" s="46">
        <f>+IF(Q18=1,Factores!$C$7,0)</f>
        <v>0</v>
      </c>
      <c r="S18" s="16">
        <v>0</v>
      </c>
      <c r="T18" s="46">
        <f>+IF(S18=1,Factores!$C$8,0)</f>
        <v>0</v>
      </c>
      <c r="U18" s="16">
        <v>0</v>
      </c>
      <c r="V18" s="46">
        <f>+IF(U18=1,Factores!$C$9,0)</f>
        <v>0</v>
      </c>
      <c r="W18" s="16">
        <v>0</v>
      </c>
      <c r="X18" s="16">
        <v>1</v>
      </c>
      <c r="Y18" s="46">
        <f>+IF((X18+W18)=1,Factores!$C$9,0)</f>
        <v>5</v>
      </c>
      <c r="Z18" s="25">
        <v>6</v>
      </c>
      <c r="AA18" s="48">
        <f t="shared" si="0"/>
        <v>0.5</v>
      </c>
      <c r="AB18" s="16" t="s">
        <v>146</v>
      </c>
      <c r="AC18" s="54">
        <f>+IF(AB18=1,Factores!$C$11,IF(AA18=0.5,(Factores!$C$11/2),0))</f>
        <v>2.5</v>
      </c>
      <c r="AD18" s="49" t="s">
        <v>146</v>
      </c>
      <c r="AE18" s="66">
        <f>+IF(AD18&lt;0,0,Factores!$C$12)</f>
        <v>5</v>
      </c>
      <c r="AF18" s="72">
        <f t="shared" si="1"/>
        <v>30.961889548151529</v>
      </c>
      <c r="AG18" s="4" t="s">
        <v>145</v>
      </c>
    </row>
    <row r="19" spans="1:33" s="3" customFormat="1" ht="57.75" customHeight="1" thickBot="1" x14ac:dyDescent="0.3">
      <c r="A19" s="84">
        <v>18</v>
      </c>
      <c r="B19" s="80">
        <v>4.6890034085566201</v>
      </c>
      <c r="C19" s="80">
        <v>-74.092069146651596</v>
      </c>
      <c r="D19" s="16" t="s">
        <v>96</v>
      </c>
      <c r="E19" s="16" t="s">
        <v>31</v>
      </c>
      <c r="F19" s="81" t="s">
        <v>97</v>
      </c>
      <c r="G19" s="82" t="s">
        <v>10</v>
      </c>
      <c r="H19" s="83">
        <v>37987</v>
      </c>
      <c r="I19" s="85">
        <v>7212.3985984869169</v>
      </c>
      <c r="J19" s="30">
        <v>2.6248440463809499E-2</v>
      </c>
      <c r="K19" s="56">
        <v>7980.9999982526497</v>
      </c>
      <c r="L19" s="60">
        <f>((K19-$K$56)/($K$55-$K$56))*Factores!$C$4</f>
        <v>6.8111022349263886</v>
      </c>
      <c r="M19" s="16">
        <v>3</v>
      </c>
      <c r="N19" s="54">
        <f>+IF(OR(M19=3,M19=2,M19=1),Factores!$C$5,0)</f>
        <v>10</v>
      </c>
      <c r="O19" s="16">
        <v>0</v>
      </c>
      <c r="P19" s="46">
        <f>+IF(O19=1,Factores!$C$6,0)</f>
        <v>0</v>
      </c>
      <c r="Q19" s="16">
        <v>0</v>
      </c>
      <c r="R19" s="46">
        <f>+IF(Q19=1,Factores!$C$7,0)</f>
        <v>0</v>
      </c>
      <c r="S19" s="16">
        <v>1</v>
      </c>
      <c r="T19" s="46">
        <f>+IF(S19=1,Factores!$C$8,0)</f>
        <v>20</v>
      </c>
      <c r="U19" s="16">
        <v>0</v>
      </c>
      <c r="V19" s="46">
        <f>+IF(U19=1,Factores!$C$9,0)</f>
        <v>0</v>
      </c>
      <c r="W19" s="16">
        <v>0</v>
      </c>
      <c r="X19" s="16">
        <v>1</v>
      </c>
      <c r="Y19" s="46">
        <f>+IF((X19+W19)=1,Factores!$C$9,0)</f>
        <v>5</v>
      </c>
      <c r="Z19" s="25">
        <v>10</v>
      </c>
      <c r="AA19" s="48">
        <f t="shared" si="0"/>
        <v>0.5</v>
      </c>
      <c r="AB19" s="16">
        <v>0</v>
      </c>
      <c r="AC19" s="54">
        <f>+IF(AB19=1,Factores!$C$11,IF(AA19=0.5,(Factores!$C$11/2),0))</f>
        <v>2.5</v>
      </c>
      <c r="AD19" s="49">
        <v>0</v>
      </c>
      <c r="AE19" s="66">
        <f>+IF(AD19&lt;0,0,Factores!$C$12)</f>
        <v>5</v>
      </c>
      <c r="AF19" s="72">
        <f t="shared" si="1"/>
        <v>49.311102234926388</v>
      </c>
      <c r="AG19" s="4" t="s">
        <v>147</v>
      </c>
    </row>
    <row r="20" spans="1:33" s="3" customFormat="1" ht="57.75" customHeight="1" thickBot="1" x14ac:dyDescent="0.3">
      <c r="A20" s="84">
        <v>19</v>
      </c>
      <c r="B20" s="80">
        <v>4.724278526</v>
      </c>
      <c r="C20" s="80">
        <v>-74.112528240000003</v>
      </c>
      <c r="D20" s="16" t="s">
        <v>55</v>
      </c>
      <c r="E20" s="16" t="s">
        <v>22</v>
      </c>
      <c r="F20" s="81" t="s">
        <v>29</v>
      </c>
      <c r="G20" s="82" t="s">
        <v>10</v>
      </c>
      <c r="H20" s="83">
        <v>37987</v>
      </c>
      <c r="I20" s="85">
        <v>8061.8991443488594</v>
      </c>
      <c r="J20" s="30">
        <v>3.5075945444053611E-2</v>
      </c>
      <c r="K20" s="56">
        <v>9729</v>
      </c>
      <c r="L20" s="60">
        <f>((K20-$K$56)/($K$55-$K$56))*Factores!$C$4</f>
        <v>8.3069945230488376</v>
      </c>
      <c r="M20" s="16">
        <v>3</v>
      </c>
      <c r="N20" s="54">
        <f>+IF(OR(M20=3,M20=2,M20=1),Factores!$C$5,0)</f>
        <v>10</v>
      </c>
      <c r="O20" s="16">
        <v>1</v>
      </c>
      <c r="P20" s="46">
        <f>+IF(O20=1,Factores!$C$6,0)</f>
        <v>10</v>
      </c>
      <c r="Q20" s="16">
        <v>0</v>
      </c>
      <c r="R20" s="46">
        <f>+IF(Q20=1,Factores!$C$7,0)</f>
        <v>0</v>
      </c>
      <c r="S20" s="16">
        <v>0</v>
      </c>
      <c r="T20" s="46">
        <f>+IF(S20=1,Factores!$C$8,0)</f>
        <v>0</v>
      </c>
      <c r="U20" s="16">
        <v>1</v>
      </c>
      <c r="V20" s="46">
        <f>+IF(U20=1,Factores!$C$9,0)</f>
        <v>5</v>
      </c>
      <c r="W20" s="16">
        <v>-1</v>
      </c>
      <c r="X20" s="16">
        <v>1</v>
      </c>
      <c r="Y20" s="46">
        <f>+IF((X20+W20)=1,Factores!$C$9,0)</f>
        <v>0</v>
      </c>
      <c r="Z20" s="25">
        <v>9</v>
      </c>
      <c r="AA20" s="48">
        <f t="shared" si="0"/>
        <v>0.5</v>
      </c>
      <c r="AB20" s="16">
        <v>1</v>
      </c>
      <c r="AC20" s="54">
        <f>+IF(AB20=1,Factores!$C$11,IF(AA20=0.5,(Factores!$C$11/2),0))</f>
        <v>5</v>
      </c>
      <c r="AD20" s="49">
        <v>0</v>
      </c>
      <c r="AE20" s="66">
        <f>+IF(AD20&lt;0,0,Factores!$C$12)</f>
        <v>5</v>
      </c>
      <c r="AF20" s="72">
        <f t="shared" si="1"/>
        <v>43.306994523048836</v>
      </c>
      <c r="AG20" s="4" t="s">
        <v>148</v>
      </c>
    </row>
    <row r="21" spans="1:33" s="3" customFormat="1" ht="57.75" customHeight="1" thickBot="1" x14ac:dyDescent="0.3">
      <c r="A21" s="84">
        <v>20</v>
      </c>
      <c r="B21" s="80">
        <v>4.7015300279999996</v>
      </c>
      <c r="C21" s="80">
        <v>-74.105638380000002</v>
      </c>
      <c r="D21" s="16" t="s">
        <v>11</v>
      </c>
      <c r="E21" s="16" t="s">
        <v>12</v>
      </c>
      <c r="F21" s="81" t="s">
        <v>13</v>
      </c>
      <c r="G21" s="82" t="s">
        <v>10</v>
      </c>
      <c r="H21" s="83">
        <v>37987</v>
      </c>
      <c r="I21" s="85">
        <v>8196.771924696257</v>
      </c>
      <c r="J21" s="30">
        <v>5.2644310248813497E-2</v>
      </c>
      <c r="K21" s="56">
        <v>14576</v>
      </c>
      <c r="L21" s="60">
        <f>((K21-$K$56)/($K$55-$K$56))*Factores!$C$4</f>
        <v>12.454929256047466</v>
      </c>
      <c r="M21" s="16">
        <v>3</v>
      </c>
      <c r="N21" s="54">
        <f>+IF(OR(M21=3,M21=2,M21=1),Factores!$C$5,0)</f>
        <v>10</v>
      </c>
      <c r="O21" s="16">
        <v>0</v>
      </c>
      <c r="P21" s="46">
        <f>+IF(O21=1,Factores!$C$6,0)</f>
        <v>0</v>
      </c>
      <c r="Q21" s="16">
        <v>0</v>
      </c>
      <c r="R21" s="46">
        <f>+IF(Q21=1,Factores!$C$7,0)</f>
        <v>0</v>
      </c>
      <c r="S21" s="16">
        <v>0</v>
      </c>
      <c r="T21" s="46">
        <f>+IF(S21=1,Factores!$C$8,0)</f>
        <v>0</v>
      </c>
      <c r="U21" s="16">
        <v>0</v>
      </c>
      <c r="V21" s="46">
        <f>+IF(U21=1,Factores!$C$9,0)</f>
        <v>0</v>
      </c>
      <c r="W21" s="16">
        <v>0</v>
      </c>
      <c r="X21" s="16">
        <v>1</v>
      </c>
      <c r="Y21" s="46">
        <f>+IF((X21+W21)=1,Factores!$C$9,0)</f>
        <v>5</v>
      </c>
      <c r="Z21" s="25">
        <v>6</v>
      </c>
      <c r="AA21" s="48">
        <f t="shared" si="0"/>
        <v>0.5</v>
      </c>
      <c r="AB21" s="16">
        <v>0</v>
      </c>
      <c r="AC21" s="54">
        <f>+IF(AB21=1,Factores!$C$11,IF(AA21=0.5,(Factores!$C$11/2),0))</f>
        <v>2.5</v>
      </c>
      <c r="AD21" s="49">
        <v>0</v>
      </c>
      <c r="AE21" s="66">
        <f>+IF(AD21&lt;0,0,Factores!$C$12)</f>
        <v>5</v>
      </c>
      <c r="AF21" s="72">
        <f t="shared" si="1"/>
        <v>34.954929256047464</v>
      </c>
      <c r="AG21" s="4" t="s">
        <v>149</v>
      </c>
    </row>
    <row r="22" spans="1:33" s="3" customFormat="1" ht="57.75" customHeight="1" thickBot="1" x14ac:dyDescent="0.3">
      <c r="A22" s="84">
        <v>21</v>
      </c>
      <c r="B22" s="80">
        <v>4.705022681</v>
      </c>
      <c r="C22" s="80">
        <v>-74.134515379999996</v>
      </c>
      <c r="D22" s="16" t="s">
        <v>85</v>
      </c>
      <c r="E22" s="16" t="s">
        <v>86</v>
      </c>
      <c r="F22" s="81" t="s">
        <v>87</v>
      </c>
      <c r="G22" s="82" t="s">
        <v>10</v>
      </c>
      <c r="H22" s="83">
        <v>37987</v>
      </c>
      <c r="I22" s="85">
        <v>8295.9835497391887</v>
      </c>
      <c r="J22" s="30">
        <v>4.4485448164516127E-2</v>
      </c>
      <c r="K22" s="56">
        <v>12739</v>
      </c>
      <c r="L22" s="60">
        <f>((K22-$K$56)/($K$55-$K$56))*Factores!$C$4</f>
        <v>10.882873117298036</v>
      </c>
      <c r="M22" s="16">
        <v>2</v>
      </c>
      <c r="N22" s="54">
        <f>+IF(OR(M22=3,M22=2,M22=1),Factores!$C$5,0)</f>
        <v>10</v>
      </c>
      <c r="O22" s="16">
        <v>1</v>
      </c>
      <c r="P22" s="46">
        <f>+IF(O22=1,Factores!$C$6,0)</f>
        <v>10</v>
      </c>
      <c r="Q22" s="16">
        <v>0</v>
      </c>
      <c r="R22" s="46">
        <f>+IF(Q22=1,Factores!$C$7,0)</f>
        <v>0</v>
      </c>
      <c r="S22" s="16">
        <v>0</v>
      </c>
      <c r="T22" s="46">
        <f>+IF(S22=1,Factores!$C$8,0)</f>
        <v>0</v>
      </c>
      <c r="U22" s="16">
        <v>1</v>
      </c>
      <c r="V22" s="46">
        <f>+IF(U22=1,Factores!$C$9,0)</f>
        <v>5</v>
      </c>
      <c r="W22" s="16">
        <v>0</v>
      </c>
      <c r="X22" s="16">
        <v>1</v>
      </c>
      <c r="Y22" s="46">
        <f>+IF((X22+W22)=1,Factores!$C$9,0)</f>
        <v>5</v>
      </c>
      <c r="Z22" s="25">
        <v>13</v>
      </c>
      <c r="AA22" s="48">
        <f t="shared" si="0"/>
        <v>0.5</v>
      </c>
      <c r="AB22" s="16">
        <v>1</v>
      </c>
      <c r="AC22" s="54">
        <f>+IF(AB22=1,Factores!$C$11,IF(AA22=0.5,(Factores!$C$11/2),0))</f>
        <v>5</v>
      </c>
      <c r="AD22" s="49">
        <v>0</v>
      </c>
      <c r="AE22" s="66">
        <f>+IF(AD22&lt;0,0,Factores!$C$12)</f>
        <v>5</v>
      </c>
      <c r="AF22" s="72">
        <f t="shared" si="1"/>
        <v>50.882873117298033</v>
      </c>
      <c r="AG22" s="4" t="s">
        <v>150</v>
      </c>
    </row>
    <row r="23" spans="1:33" s="3" customFormat="1" ht="57.75" customHeight="1" thickBot="1" x14ac:dyDescent="0.3">
      <c r="A23" s="84">
        <v>22</v>
      </c>
      <c r="B23" s="80">
        <v>4.673471825</v>
      </c>
      <c r="C23" s="80">
        <v>-74.09336854</v>
      </c>
      <c r="D23" s="16" t="s">
        <v>39</v>
      </c>
      <c r="E23" s="16" t="s">
        <v>31</v>
      </c>
      <c r="F23" s="81" t="s">
        <v>40</v>
      </c>
      <c r="G23" s="82" t="s">
        <v>10</v>
      </c>
      <c r="H23" s="83">
        <v>37987</v>
      </c>
      <c r="I23" s="85">
        <v>8761.3367828606588</v>
      </c>
      <c r="J23" s="30">
        <v>2.8363418552258442E-2</v>
      </c>
      <c r="K23" s="56">
        <v>10477</v>
      </c>
      <c r="L23" s="60">
        <f>((K23-$K$56)/($K$55-$K$56))*Factores!$C$4</f>
        <v>8.9471131903240533</v>
      </c>
      <c r="M23" s="16">
        <v>3</v>
      </c>
      <c r="N23" s="54">
        <f>+IF(OR(M23=3,M23=2,M23=1),Factores!$C$5,0)</f>
        <v>10</v>
      </c>
      <c r="O23" s="16">
        <v>0</v>
      </c>
      <c r="P23" s="46">
        <f>+IF(O23=1,Factores!$C$6,0)</f>
        <v>0</v>
      </c>
      <c r="Q23" s="16">
        <v>1</v>
      </c>
      <c r="R23" s="46">
        <f>+IF(Q23=1,Factores!$C$7,0)</f>
        <v>10</v>
      </c>
      <c r="S23" s="16">
        <v>0</v>
      </c>
      <c r="T23" s="46">
        <f>+IF(S23=1,Factores!$C$8,0)</f>
        <v>0</v>
      </c>
      <c r="U23" s="16">
        <v>1</v>
      </c>
      <c r="V23" s="46">
        <f>+IF(U23=1,Factores!$C$9,0)</f>
        <v>5</v>
      </c>
      <c r="W23" s="16">
        <v>0</v>
      </c>
      <c r="X23" s="16">
        <v>1</v>
      </c>
      <c r="Y23" s="46">
        <f>+IF((X23+W23)=1,Factores!$C$9,0)</f>
        <v>5</v>
      </c>
      <c r="Z23" s="25">
        <v>3</v>
      </c>
      <c r="AA23" s="48">
        <f t="shared" si="0"/>
        <v>0.5</v>
      </c>
      <c r="AB23" s="16">
        <v>0</v>
      </c>
      <c r="AC23" s="54">
        <f>+IF(AB23=1,Factores!$C$11,IF(AA23=0.5,(Factores!$C$11/2),0))</f>
        <v>2.5</v>
      </c>
      <c r="AD23" s="49">
        <v>0</v>
      </c>
      <c r="AE23" s="66">
        <f>+IF(AD23&lt;0,0,Factores!$C$12)</f>
        <v>5</v>
      </c>
      <c r="AF23" s="72">
        <f t="shared" si="1"/>
        <v>46.447113190324053</v>
      </c>
      <c r="AG23" s="4" t="s">
        <v>151</v>
      </c>
    </row>
    <row r="24" spans="1:33" s="3" customFormat="1" ht="57.75" customHeight="1" thickBot="1" x14ac:dyDescent="0.3">
      <c r="A24" s="84">
        <v>23</v>
      </c>
      <c r="B24" s="80">
        <v>4.6797020370000002</v>
      </c>
      <c r="C24" s="80">
        <v>-74.102929270000004</v>
      </c>
      <c r="D24" s="16" t="s">
        <v>19</v>
      </c>
      <c r="E24" s="16" t="s">
        <v>4</v>
      </c>
      <c r="F24" s="81" t="s">
        <v>20</v>
      </c>
      <c r="G24" s="82" t="s">
        <v>10</v>
      </c>
      <c r="H24" s="83">
        <v>37987</v>
      </c>
      <c r="I24" s="85">
        <v>8910.6172418426795</v>
      </c>
      <c r="J24" s="30">
        <v>3.6568823604703038E-2</v>
      </c>
      <c r="K24" s="56">
        <v>8266</v>
      </c>
      <c r="L24" s="60">
        <f>((K24-$K$56)/($K$55-$K$56))*Factores!$C$4</f>
        <v>7.0549977179370158</v>
      </c>
      <c r="M24" s="16">
        <v>3</v>
      </c>
      <c r="N24" s="54">
        <f>+IF(OR(M24=3,M24=2,M24=1),Factores!$C$5,0)</f>
        <v>10</v>
      </c>
      <c r="O24" s="16">
        <v>0</v>
      </c>
      <c r="P24" s="46">
        <f>+IF(O24=1,Factores!$C$6,0)</f>
        <v>0</v>
      </c>
      <c r="Q24" s="16">
        <v>0</v>
      </c>
      <c r="R24" s="46">
        <f>+IF(Q24=1,Factores!$C$7,0)</f>
        <v>0</v>
      </c>
      <c r="S24" s="16">
        <v>0</v>
      </c>
      <c r="T24" s="46">
        <f>+IF(S24=1,Factores!$C$8,0)</f>
        <v>0</v>
      </c>
      <c r="U24" s="16">
        <v>1</v>
      </c>
      <c r="V24" s="46">
        <f>+IF(U24=1,Factores!$C$9,0)</f>
        <v>5</v>
      </c>
      <c r="W24" s="16">
        <v>0</v>
      </c>
      <c r="X24" s="16">
        <v>1</v>
      </c>
      <c r="Y24" s="46">
        <f>+IF((X24+W24)=1,Factores!$C$9,0)</f>
        <v>5</v>
      </c>
      <c r="Z24" s="25">
        <v>9</v>
      </c>
      <c r="AA24" s="48">
        <f t="shared" si="0"/>
        <v>0.5</v>
      </c>
      <c r="AB24" s="16">
        <v>0</v>
      </c>
      <c r="AC24" s="54">
        <f>+IF(AB24=1,Factores!$C$11,IF(AA24=0.5,(Factores!$C$11/2),0))</f>
        <v>2.5</v>
      </c>
      <c r="AD24" s="49">
        <v>0</v>
      </c>
      <c r="AE24" s="66">
        <f>+IF(AD24&lt;0,0,Factores!$C$12)</f>
        <v>5</v>
      </c>
      <c r="AF24" s="72">
        <f t="shared" si="1"/>
        <v>34.554997717937013</v>
      </c>
      <c r="AG24" s="4" t="s">
        <v>152</v>
      </c>
    </row>
    <row r="25" spans="1:33" s="3" customFormat="1" ht="57.75" customHeight="1" thickBot="1" x14ac:dyDescent="0.3">
      <c r="A25" s="84">
        <v>24</v>
      </c>
      <c r="B25" s="80">
        <v>4.7161087640000003</v>
      </c>
      <c r="C25" s="80">
        <v>-74.102934270000006</v>
      </c>
      <c r="D25" s="16" t="s">
        <v>92</v>
      </c>
      <c r="E25" s="16" t="s">
        <v>53</v>
      </c>
      <c r="F25" s="81" t="s">
        <v>93</v>
      </c>
      <c r="G25" s="82" t="s">
        <v>10</v>
      </c>
      <c r="H25" s="83">
        <v>37987</v>
      </c>
      <c r="I25" s="85">
        <v>9587.0051149647843</v>
      </c>
      <c r="J25" s="30">
        <v>7.3812625755146841E-2</v>
      </c>
      <c r="K25" s="56">
        <v>15567</v>
      </c>
      <c r="L25" s="60">
        <f>((K25-$K$56)/($K$55-$K$56))*Factores!$C$4</f>
        <v>13.303000912825194</v>
      </c>
      <c r="M25" s="16">
        <v>2</v>
      </c>
      <c r="N25" s="54">
        <f>+IF(OR(M25=3,M25=2,M25=1),Factores!$C$5,0)</f>
        <v>10</v>
      </c>
      <c r="O25" s="16">
        <v>1</v>
      </c>
      <c r="P25" s="46">
        <f>+IF(O25=1,Factores!$C$6,0)</f>
        <v>10</v>
      </c>
      <c r="Q25" s="16">
        <v>1</v>
      </c>
      <c r="R25" s="46">
        <f>+IF(Q25=1,Factores!$C$7,0)</f>
        <v>10</v>
      </c>
      <c r="S25" s="16">
        <v>0</v>
      </c>
      <c r="T25" s="46">
        <f>+IF(S25=1,Factores!$C$8,0)</f>
        <v>0</v>
      </c>
      <c r="U25" s="16">
        <v>0</v>
      </c>
      <c r="V25" s="46">
        <f>+IF(U25=1,Factores!$C$9,0)</f>
        <v>0</v>
      </c>
      <c r="W25" s="16">
        <v>0</v>
      </c>
      <c r="X25" s="16">
        <v>1</v>
      </c>
      <c r="Y25" s="46">
        <f>+IF((X25+W25)=1,Factores!$C$9,0)</f>
        <v>5</v>
      </c>
      <c r="Z25" s="25">
        <v>6</v>
      </c>
      <c r="AA25" s="48">
        <f t="shared" si="0"/>
        <v>0.5</v>
      </c>
      <c r="AB25" s="16">
        <v>1</v>
      </c>
      <c r="AC25" s="54">
        <f>+IF(AB25=1,Factores!$C$11,IF(AA25=0.5,(Factores!$C$11/2),0))</f>
        <v>5</v>
      </c>
      <c r="AD25" s="49">
        <v>0</v>
      </c>
      <c r="AE25" s="66">
        <f>+IF(AD25&lt;0,0,Factores!$C$12)</f>
        <v>5</v>
      </c>
      <c r="AF25" s="72">
        <f t="shared" si="1"/>
        <v>58.303000912825198</v>
      </c>
      <c r="AG25" s="4" t="s">
        <v>153</v>
      </c>
    </row>
    <row r="26" spans="1:33" s="3" customFormat="1" ht="57.75" customHeight="1" thickBot="1" x14ac:dyDescent="0.3">
      <c r="A26" s="84">
        <v>25</v>
      </c>
      <c r="B26" s="80">
        <v>4.6748106920000003</v>
      </c>
      <c r="C26" s="80">
        <v>-74.10823911</v>
      </c>
      <c r="D26" s="16" t="s">
        <v>67</v>
      </c>
      <c r="E26" s="16" t="s">
        <v>4</v>
      </c>
      <c r="F26" s="81" t="s">
        <v>68</v>
      </c>
      <c r="G26" s="82" t="s">
        <v>10</v>
      </c>
      <c r="H26" s="83">
        <v>37987</v>
      </c>
      <c r="I26" s="85">
        <v>9792.1359049273487</v>
      </c>
      <c r="J26" s="30">
        <v>3.4270592201937053E-2</v>
      </c>
      <c r="K26" s="56">
        <v>8248</v>
      </c>
      <c r="L26" s="60">
        <f>((K26-$K$56)/($K$55-$K$56))*Factores!$C$4</f>
        <v>7.0395937927886809</v>
      </c>
      <c r="M26" s="16">
        <v>4</v>
      </c>
      <c r="N26" s="54">
        <f>+IF(OR(M26=3,M26=2,M26=1),Factores!$C$5,0)</f>
        <v>0</v>
      </c>
      <c r="O26" s="16">
        <v>1</v>
      </c>
      <c r="P26" s="46">
        <f>+IF(O26=1,Factores!$C$6,0)</f>
        <v>10</v>
      </c>
      <c r="Q26" s="16">
        <v>0</v>
      </c>
      <c r="R26" s="46">
        <f>+IF(Q26=1,Factores!$C$7,0)</f>
        <v>0</v>
      </c>
      <c r="S26" s="16">
        <v>0</v>
      </c>
      <c r="T26" s="46">
        <f>+IF(S26=1,Factores!$C$8,0)</f>
        <v>0</v>
      </c>
      <c r="U26" s="16">
        <v>0</v>
      </c>
      <c r="V26" s="46">
        <f>+IF(U26=1,Factores!$C$9,0)</f>
        <v>0</v>
      </c>
      <c r="W26" s="16">
        <v>0</v>
      </c>
      <c r="X26" s="16">
        <v>1</v>
      </c>
      <c r="Y26" s="46">
        <f>+IF((X26+W26)=1,Factores!$C$9,0)</f>
        <v>5</v>
      </c>
      <c r="Z26" s="25">
        <v>7</v>
      </c>
      <c r="AA26" s="48">
        <f t="shared" si="0"/>
        <v>0.5</v>
      </c>
      <c r="AB26" s="16">
        <v>0</v>
      </c>
      <c r="AC26" s="54">
        <f>+IF(AB26=1,Factores!$C$11,IF(AA26=0.5,(Factores!$C$11/2),0))</f>
        <v>2.5</v>
      </c>
      <c r="AD26" s="49">
        <v>0</v>
      </c>
      <c r="AE26" s="66">
        <f>+IF(AD26&lt;0,0,Factores!$C$12)</f>
        <v>5</v>
      </c>
      <c r="AF26" s="72">
        <f t="shared" si="1"/>
        <v>29.539593792788679</v>
      </c>
      <c r="AG26" s="4" t="s">
        <v>154</v>
      </c>
    </row>
    <row r="27" spans="1:33" s="3" customFormat="1" ht="57.75" customHeight="1" thickBot="1" x14ac:dyDescent="0.3">
      <c r="A27" s="84">
        <v>26</v>
      </c>
      <c r="B27" s="80">
        <v>4.7221164959999999</v>
      </c>
      <c r="C27" s="80">
        <v>-74.115358889999996</v>
      </c>
      <c r="D27" s="16" t="s">
        <v>28</v>
      </c>
      <c r="E27" s="16" t="s">
        <v>22</v>
      </c>
      <c r="F27" s="81" t="s">
        <v>29</v>
      </c>
      <c r="G27" s="82" t="s">
        <v>10</v>
      </c>
      <c r="H27" s="83">
        <v>37987</v>
      </c>
      <c r="I27" s="85">
        <v>9822.8700006133549</v>
      </c>
      <c r="J27" s="30">
        <v>2.4774410502174757E-2</v>
      </c>
      <c r="K27" s="56">
        <v>6786</v>
      </c>
      <c r="L27" s="60">
        <f>((K27-$K$56)/($K$55-$K$56))*Factores!$C$4</f>
        <v>5.7884527612962113</v>
      </c>
      <c r="M27" s="16">
        <v>3</v>
      </c>
      <c r="N27" s="54">
        <f>+IF(OR(M27=3,M27=2,M27=1),Factores!$C$5,0)</f>
        <v>10</v>
      </c>
      <c r="O27" s="16">
        <v>1</v>
      </c>
      <c r="P27" s="46">
        <f>+IF(O27=1,Factores!$C$6,0)</f>
        <v>10</v>
      </c>
      <c r="Q27" s="16">
        <v>1</v>
      </c>
      <c r="R27" s="46">
        <f>+IF(Q27=1,Factores!$C$7,0)</f>
        <v>10</v>
      </c>
      <c r="S27" s="16">
        <v>1</v>
      </c>
      <c r="T27" s="46">
        <f>+IF(S27=1,Factores!$C$8,0)</f>
        <v>20</v>
      </c>
      <c r="U27" s="16">
        <v>0</v>
      </c>
      <c r="V27" s="46">
        <f>+IF(U27=1,Factores!$C$9,0)</f>
        <v>0</v>
      </c>
      <c r="W27" s="16">
        <v>-1</v>
      </c>
      <c r="X27" s="16">
        <v>1</v>
      </c>
      <c r="Y27" s="46">
        <f>+IF((X27+W27)=1,Factores!$C$9,0)</f>
        <v>0</v>
      </c>
      <c r="Z27" s="25">
        <v>7</v>
      </c>
      <c r="AA27" s="48">
        <f t="shared" si="0"/>
        <v>0.5</v>
      </c>
      <c r="AB27" s="16">
        <v>1</v>
      </c>
      <c r="AC27" s="54">
        <f>+IF(AB27=1,Factores!$C$11,IF(AA27=0.5,(Factores!$C$11/2),0))</f>
        <v>5</v>
      </c>
      <c r="AD27" s="49">
        <v>0</v>
      </c>
      <c r="AE27" s="66">
        <f>+IF(AD27&lt;0,0,Factores!$C$12)</f>
        <v>5</v>
      </c>
      <c r="AF27" s="72">
        <f t="shared" si="1"/>
        <v>65.788452761296213</v>
      </c>
      <c r="AG27" s="4" t="s">
        <v>159</v>
      </c>
    </row>
    <row r="28" spans="1:33" s="3" customFormat="1" ht="57.75" customHeight="1" thickBot="1" x14ac:dyDescent="0.3">
      <c r="A28" s="84">
        <v>27</v>
      </c>
      <c r="B28" s="80">
        <v>4.6790772570000003</v>
      </c>
      <c r="C28" s="80">
        <v>-74.105016860000006</v>
      </c>
      <c r="D28" s="16" t="s">
        <v>26</v>
      </c>
      <c r="E28" s="16" t="s">
        <v>4</v>
      </c>
      <c r="F28" s="81" t="s">
        <v>27</v>
      </c>
      <c r="G28" s="82" t="s">
        <v>10</v>
      </c>
      <c r="H28" s="83">
        <v>37987</v>
      </c>
      <c r="I28" s="85">
        <v>9823.3162034714151</v>
      </c>
      <c r="J28" s="30">
        <v>4.1385110211606964E-2</v>
      </c>
      <c r="K28" s="56">
        <v>9720</v>
      </c>
      <c r="L28" s="60">
        <f>((K28-$K$56)/($K$55-$K$56))*Factores!$C$4</f>
        <v>8.2992925604746706</v>
      </c>
      <c r="M28" s="16">
        <v>3</v>
      </c>
      <c r="N28" s="54">
        <f>+IF(OR(M28=3,M28=2,M28=1),Factores!$C$5,0)</f>
        <v>10</v>
      </c>
      <c r="O28" s="16">
        <v>1</v>
      </c>
      <c r="P28" s="46">
        <f>+IF(O28=1,Factores!$C$6,0)</f>
        <v>10</v>
      </c>
      <c r="Q28" s="16">
        <v>0</v>
      </c>
      <c r="R28" s="46">
        <f>+IF(Q28=1,Factores!$C$7,0)</f>
        <v>0</v>
      </c>
      <c r="S28" s="16">
        <v>1</v>
      </c>
      <c r="T28" s="46">
        <f>+IF(S28=1,Factores!$C$8,0)</f>
        <v>20</v>
      </c>
      <c r="U28" s="16">
        <v>1</v>
      </c>
      <c r="V28" s="46">
        <f>+IF(U28=1,Factores!$C$9,0)</f>
        <v>5</v>
      </c>
      <c r="W28" s="16">
        <v>0</v>
      </c>
      <c r="X28" s="16">
        <v>1</v>
      </c>
      <c r="Y28" s="46">
        <f>+IF((X28+W28)=1,Factores!$C$9,0)</f>
        <v>5</v>
      </c>
      <c r="Z28" s="25">
        <v>10</v>
      </c>
      <c r="AA28" s="48">
        <f t="shared" si="0"/>
        <v>0.5</v>
      </c>
      <c r="AB28" s="16">
        <v>0</v>
      </c>
      <c r="AC28" s="54">
        <f>+IF(AB28=1,Factores!$C$11,IF(AA28=0.5,(Factores!$C$11/2),0))</f>
        <v>2.5</v>
      </c>
      <c r="AD28" s="49">
        <v>0</v>
      </c>
      <c r="AE28" s="66">
        <f>+IF(AD28&lt;0,0,Factores!$C$12)</f>
        <v>5</v>
      </c>
      <c r="AF28" s="72">
        <f t="shared" si="1"/>
        <v>65.799292560474669</v>
      </c>
      <c r="AG28" s="4" t="s">
        <v>160</v>
      </c>
    </row>
    <row r="29" spans="1:33" s="3" customFormat="1" ht="57.75" customHeight="1" thickBot="1" x14ac:dyDescent="0.3">
      <c r="A29" s="84">
        <v>28</v>
      </c>
      <c r="B29" s="80">
        <v>4.6766823710000001</v>
      </c>
      <c r="C29" s="80">
        <v>-74.111028009999998</v>
      </c>
      <c r="D29" s="16" t="s">
        <v>47</v>
      </c>
      <c r="E29" s="16" t="s">
        <v>4</v>
      </c>
      <c r="F29" s="81" t="s">
        <v>25</v>
      </c>
      <c r="G29" s="82" t="s">
        <v>10</v>
      </c>
      <c r="H29" s="83">
        <v>37987</v>
      </c>
      <c r="I29" s="85">
        <v>9906.2901410090253</v>
      </c>
      <c r="J29" s="30">
        <v>2.8464254373133227E-2</v>
      </c>
      <c r="K29" s="56">
        <v>7026</v>
      </c>
      <c r="L29" s="60">
        <f>((K29-$K$56)/($K$55-$K$56))*Factores!$C$4</f>
        <v>5.9938384299406664</v>
      </c>
      <c r="M29" s="16">
        <v>3</v>
      </c>
      <c r="N29" s="54">
        <f>+IF(OR(M29=3,M29=2,M29=1),Factores!$C$5,0)</f>
        <v>10</v>
      </c>
      <c r="O29" s="16">
        <v>1</v>
      </c>
      <c r="P29" s="46">
        <f>+IF(O29=1,Factores!$C$6,0)</f>
        <v>10</v>
      </c>
      <c r="Q29" s="16">
        <v>0</v>
      </c>
      <c r="R29" s="46">
        <f>+IF(Q29=1,Factores!$C$7,0)</f>
        <v>0</v>
      </c>
      <c r="S29" s="16">
        <v>1</v>
      </c>
      <c r="T29" s="46">
        <f>+IF(S29=1,Factores!$C$8,0)</f>
        <v>20</v>
      </c>
      <c r="U29" s="16">
        <v>1</v>
      </c>
      <c r="V29" s="46">
        <f>+IF(U29=1,Factores!$C$9,0)</f>
        <v>5</v>
      </c>
      <c r="W29" s="16">
        <v>0</v>
      </c>
      <c r="X29" s="16">
        <v>1</v>
      </c>
      <c r="Y29" s="46">
        <f>+IF((X29+W29)=1,Factores!$C$9,0)</f>
        <v>5</v>
      </c>
      <c r="Z29" s="25">
        <v>11</v>
      </c>
      <c r="AA29" s="48">
        <f t="shared" si="0"/>
        <v>0.5</v>
      </c>
      <c r="AB29" s="16">
        <v>0</v>
      </c>
      <c r="AC29" s="54">
        <f>+IF(AB29=1,Factores!$C$11,IF(AA29=0.5,(Factores!$C$11/2),0))</f>
        <v>2.5</v>
      </c>
      <c r="AD29" s="49">
        <v>0</v>
      </c>
      <c r="AE29" s="66">
        <f>+IF(AD29&lt;0,0,Factores!$C$12)</f>
        <v>5</v>
      </c>
      <c r="AF29" s="72">
        <f t="shared" si="1"/>
        <v>63.493838429940666</v>
      </c>
      <c r="AG29" s="4" t="s">
        <v>155</v>
      </c>
    </row>
    <row r="30" spans="1:33" s="3" customFormat="1" ht="57.75" customHeight="1" thickBot="1" x14ac:dyDescent="0.3">
      <c r="A30" s="84">
        <v>29</v>
      </c>
      <c r="B30" s="80">
        <v>4.6867873720000004</v>
      </c>
      <c r="C30" s="80">
        <v>-74.098604499999993</v>
      </c>
      <c r="D30" s="16" t="s">
        <v>37</v>
      </c>
      <c r="E30" s="16" t="s">
        <v>12</v>
      </c>
      <c r="F30" s="81" t="s">
        <v>38</v>
      </c>
      <c r="G30" s="82" t="s">
        <v>10</v>
      </c>
      <c r="H30" s="83">
        <v>37987</v>
      </c>
      <c r="I30" s="85">
        <v>9952.0589871228549</v>
      </c>
      <c r="J30" s="30">
        <v>2.4932399189996665E-2</v>
      </c>
      <c r="K30" s="56">
        <v>6065</v>
      </c>
      <c r="L30" s="60">
        <f>((K30-$K$56)/($K$55-$K$56))*Factores!$C$4</f>
        <v>5.1714399817434957</v>
      </c>
      <c r="M30" s="16">
        <v>3</v>
      </c>
      <c r="N30" s="54">
        <f>+IF(OR(M30=3,M30=2,M30=1),Factores!$C$5,0)</f>
        <v>10</v>
      </c>
      <c r="O30" s="16">
        <v>1</v>
      </c>
      <c r="P30" s="46">
        <f>+IF(O30=1,Factores!$C$6,0)</f>
        <v>10</v>
      </c>
      <c r="Q30" s="16">
        <v>1</v>
      </c>
      <c r="R30" s="46">
        <f>+IF(Q30=1,Factores!$C$7,0)</f>
        <v>10</v>
      </c>
      <c r="S30" s="16">
        <v>0</v>
      </c>
      <c r="T30" s="46">
        <f>+IF(S30=1,Factores!$C$8,0)</f>
        <v>0</v>
      </c>
      <c r="U30" s="16">
        <v>1</v>
      </c>
      <c r="V30" s="46">
        <f>+IF(U30=1,Factores!$C$9,0)</f>
        <v>5</v>
      </c>
      <c r="W30" s="16">
        <v>-1</v>
      </c>
      <c r="X30" s="16">
        <v>0</v>
      </c>
      <c r="Y30" s="46">
        <f>+IF((X30+W30)=1,Factores!$C$9,0)</f>
        <v>0</v>
      </c>
      <c r="Z30" s="25">
        <v>10</v>
      </c>
      <c r="AA30" s="48">
        <f t="shared" si="0"/>
        <v>0.5</v>
      </c>
      <c r="AB30" s="16">
        <v>0</v>
      </c>
      <c r="AC30" s="54">
        <f>+IF(AB30=1,Factores!$C$11,IF(AA30=0.5,(Factores!$C$11/2),0))</f>
        <v>2.5</v>
      </c>
      <c r="AD30" s="49">
        <v>0</v>
      </c>
      <c r="AE30" s="66">
        <f>+IF(AD30&lt;0,0,Factores!$C$12)</f>
        <v>5</v>
      </c>
      <c r="AF30" s="72">
        <f t="shared" si="1"/>
        <v>47.671439981743497</v>
      </c>
      <c r="AG30" s="4" t="s">
        <v>161</v>
      </c>
    </row>
    <row r="31" spans="1:33" s="3" customFormat="1" ht="57.75" customHeight="1" thickBot="1" x14ac:dyDescent="0.3">
      <c r="A31" s="84">
        <v>30</v>
      </c>
      <c r="B31" s="80">
        <v>4.6971372929999999</v>
      </c>
      <c r="C31" s="80">
        <v>-74.123043139999993</v>
      </c>
      <c r="D31" s="16" t="s">
        <v>7</v>
      </c>
      <c r="E31" s="16" t="s">
        <v>8</v>
      </c>
      <c r="F31" s="81" t="s">
        <v>9</v>
      </c>
      <c r="G31" s="82" t="s">
        <v>10</v>
      </c>
      <c r="H31" s="83">
        <v>38857</v>
      </c>
      <c r="I31" s="85">
        <v>9999.0109167551727</v>
      </c>
      <c r="J31" s="30">
        <v>4.4607642776863889E-2</v>
      </c>
      <c r="K31" s="56">
        <v>15041</v>
      </c>
      <c r="L31" s="60">
        <f>((K31-$K$56)/($K$55-$K$56))*Factores!$C$4</f>
        <v>12.852863989046098</v>
      </c>
      <c r="M31" s="16">
        <v>3</v>
      </c>
      <c r="N31" s="54">
        <f>+IF(OR(M31=3,M31=2,M31=1),Factores!$C$5,0)</f>
        <v>10</v>
      </c>
      <c r="O31" s="16">
        <v>1</v>
      </c>
      <c r="P31" s="46">
        <f>+IF(O31=1,Factores!$C$6,0)</f>
        <v>10</v>
      </c>
      <c r="Q31" s="16">
        <v>1</v>
      </c>
      <c r="R31" s="46">
        <f>+IF(Q31=1,Factores!$C$7,0)</f>
        <v>10</v>
      </c>
      <c r="S31" s="16">
        <v>1</v>
      </c>
      <c r="T31" s="46">
        <f>+IF(S31=1,Factores!$C$8,0)</f>
        <v>20</v>
      </c>
      <c r="U31" s="16">
        <v>0</v>
      </c>
      <c r="V31" s="46">
        <f>+IF(U31=1,Factores!$C$9,0)</f>
        <v>0</v>
      </c>
      <c r="W31" s="16">
        <v>0</v>
      </c>
      <c r="X31" s="16">
        <v>1</v>
      </c>
      <c r="Y31" s="46">
        <f>+IF((X31+W31)=1,Factores!$C$9,0)</f>
        <v>5</v>
      </c>
      <c r="Z31" s="25">
        <v>3</v>
      </c>
      <c r="AA31" s="48">
        <f t="shared" si="0"/>
        <v>0.5</v>
      </c>
      <c r="AB31" s="16">
        <v>0</v>
      </c>
      <c r="AC31" s="54">
        <f>+IF(AB31=1,Factores!$C$11,IF(AA31=0.5,(Factores!$C$11/2),0))</f>
        <v>2.5</v>
      </c>
      <c r="AD31" s="49">
        <v>0</v>
      </c>
      <c r="AE31" s="66">
        <f>+IF(AD31&lt;0,0,Factores!$C$12)</f>
        <v>5</v>
      </c>
      <c r="AF31" s="72">
        <f t="shared" si="1"/>
        <v>75.352863989046099</v>
      </c>
      <c r="AG31" s="4" t="s">
        <v>162</v>
      </c>
    </row>
    <row r="32" spans="1:33" s="3" customFormat="1" ht="57.75" customHeight="1" thickBot="1" x14ac:dyDescent="0.3">
      <c r="A32" s="84">
        <v>31</v>
      </c>
      <c r="B32" s="80">
        <v>4.6909682620000002</v>
      </c>
      <c r="C32" s="80">
        <v>-74.096619039999993</v>
      </c>
      <c r="D32" s="16" t="s">
        <v>105</v>
      </c>
      <c r="E32" s="16" t="s">
        <v>12</v>
      </c>
      <c r="F32" s="81" t="s">
        <v>106</v>
      </c>
      <c r="G32" s="82" t="s">
        <v>10</v>
      </c>
      <c r="H32" s="83">
        <v>37987</v>
      </c>
      <c r="I32" s="85">
        <v>10242.77061326387</v>
      </c>
      <c r="J32" s="30">
        <v>2.254023093375649E-2</v>
      </c>
      <c r="K32" s="56">
        <v>5008</v>
      </c>
      <c r="L32" s="60">
        <f>((K32-$K$56)/($K$55-$K$56))*Factores!$C$4</f>
        <v>4.2668872660885437</v>
      </c>
      <c r="M32" s="16">
        <v>3</v>
      </c>
      <c r="N32" s="54">
        <f>+IF(OR(M32=3,M32=2,M32=1),Factores!$C$5,0)</f>
        <v>10</v>
      </c>
      <c r="O32" s="16">
        <v>1</v>
      </c>
      <c r="P32" s="46">
        <f>+IF(O32=1,Factores!$C$6,0)</f>
        <v>10</v>
      </c>
      <c r="Q32" s="16">
        <v>0</v>
      </c>
      <c r="R32" s="46">
        <f>+IF(Q32=1,Factores!$C$7,0)</f>
        <v>0</v>
      </c>
      <c r="S32" s="16">
        <v>0</v>
      </c>
      <c r="T32" s="46">
        <f>+IF(S32=1,Factores!$C$8,0)</f>
        <v>0</v>
      </c>
      <c r="U32" s="16">
        <v>0</v>
      </c>
      <c r="V32" s="46">
        <f>+IF(U32=1,Factores!$C$9,0)</f>
        <v>0</v>
      </c>
      <c r="W32" s="16">
        <v>0</v>
      </c>
      <c r="X32" s="16">
        <v>1</v>
      </c>
      <c r="Y32" s="46">
        <f>+IF((X32+W32)=1,Factores!$C$9,0)</f>
        <v>5</v>
      </c>
      <c r="Z32" s="25">
        <v>14</v>
      </c>
      <c r="AA32" s="48">
        <f t="shared" si="0"/>
        <v>0.5</v>
      </c>
      <c r="AB32" s="16">
        <v>0</v>
      </c>
      <c r="AC32" s="54">
        <f>+IF(AB32=1,Factores!$C$11,IF(AA32=0.5,(Factores!$C$11/2),0))</f>
        <v>2.5</v>
      </c>
      <c r="AD32" s="49">
        <v>0</v>
      </c>
      <c r="AE32" s="66">
        <f>+IF(AD32&lt;0,0,Factores!$C$12)</f>
        <v>5</v>
      </c>
      <c r="AF32" s="72">
        <f t="shared" si="1"/>
        <v>36.766887266088546</v>
      </c>
      <c r="AG32" s="4" t="s">
        <v>163</v>
      </c>
    </row>
    <row r="33" spans="1:33" s="3" customFormat="1" ht="57.75" customHeight="1" thickBot="1" x14ac:dyDescent="0.3">
      <c r="A33" s="84">
        <v>32</v>
      </c>
      <c r="B33" s="80">
        <v>4.7303678250000001</v>
      </c>
      <c r="C33" s="80">
        <v>-74.116282859999998</v>
      </c>
      <c r="D33" s="16" t="s">
        <v>43</v>
      </c>
      <c r="E33" s="16" t="s">
        <v>22</v>
      </c>
      <c r="F33" s="81" t="s">
        <v>44</v>
      </c>
      <c r="G33" s="82" t="s">
        <v>10</v>
      </c>
      <c r="H33" s="83">
        <v>37987</v>
      </c>
      <c r="I33" s="85">
        <v>10319.849514028951</v>
      </c>
      <c r="J33" s="30">
        <v>2.1082163395275147E-2</v>
      </c>
      <c r="K33" s="56">
        <v>17426</v>
      </c>
      <c r="L33" s="60">
        <f>((K33-$K$56)/($K$55-$K$56))*Factores!$C$4</f>
        <v>14.893884071200365</v>
      </c>
      <c r="M33" s="16">
        <v>3</v>
      </c>
      <c r="N33" s="54">
        <f>+IF(OR(M33=3,M33=2,M33=1),Factores!$C$5,0)</f>
        <v>10</v>
      </c>
      <c r="O33" s="16">
        <v>1</v>
      </c>
      <c r="P33" s="46">
        <f>+IF(O33=1,Factores!$C$6,0)</f>
        <v>10</v>
      </c>
      <c r="Q33" s="16">
        <v>1</v>
      </c>
      <c r="R33" s="46">
        <f>+IF(Q33=1,Factores!$C$7,0)</f>
        <v>10</v>
      </c>
      <c r="S33" s="16">
        <v>1</v>
      </c>
      <c r="T33" s="46">
        <f>+IF(S33=1,Factores!$C$8,0)</f>
        <v>20</v>
      </c>
      <c r="U33" s="16">
        <v>0</v>
      </c>
      <c r="V33" s="46">
        <f>+IF(U33=1,Factores!$C$9,0)</f>
        <v>0</v>
      </c>
      <c r="W33" s="16">
        <v>0</v>
      </c>
      <c r="X33" s="16">
        <v>1</v>
      </c>
      <c r="Y33" s="46">
        <f>+IF((X33+W33)=1,Factores!$C$9,0)</f>
        <v>5</v>
      </c>
      <c r="Z33" s="25">
        <v>6</v>
      </c>
      <c r="AA33" s="48">
        <f t="shared" si="0"/>
        <v>0.5</v>
      </c>
      <c r="AB33" s="16">
        <v>1</v>
      </c>
      <c r="AC33" s="54">
        <f>+IF(AB33=1,Factores!$C$11,IF(AA33=0.5,(Factores!$C$11/2),0))</f>
        <v>5</v>
      </c>
      <c r="AD33" s="49">
        <v>0</v>
      </c>
      <c r="AE33" s="66">
        <f>+IF(AD33&lt;0,0,Factores!$C$12)</f>
        <v>5</v>
      </c>
      <c r="AF33" s="72">
        <f t="shared" si="1"/>
        <v>79.893884071200361</v>
      </c>
      <c r="AG33" s="4" t="s">
        <v>164</v>
      </c>
    </row>
    <row r="34" spans="1:33" s="3" customFormat="1" ht="57.75" customHeight="1" thickBot="1" x14ac:dyDescent="0.3">
      <c r="A34" s="84">
        <v>33</v>
      </c>
      <c r="B34" s="80">
        <v>4.7035179889999998</v>
      </c>
      <c r="C34" s="80">
        <v>-74.135044620000002</v>
      </c>
      <c r="D34" s="16" t="s">
        <v>98</v>
      </c>
      <c r="E34" s="16" t="s">
        <v>86</v>
      </c>
      <c r="F34" s="81" t="s">
        <v>87</v>
      </c>
      <c r="G34" s="82" t="s">
        <v>10</v>
      </c>
      <c r="H34" s="83">
        <v>37987</v>
      </c>
      <c r="I34" s="85">
        <v>10319.909340014659</v>
      </c>
      <c r="J34" s="30">
        <v>3.4116696918906828E-2</v>
      </c>
      <c r="K34" s="56">
        <v>6634</v>
      </c>
      <c r="L34" s="60">
        <f>((K34-$K$56)/($K$55-$K$56))*Factores!$C$4</f>
        <v>5.6583751711547245</v>
      </c>
      <c r="M34" s="16">
        <v>2</v>
      </c>
      <c r="N34" s="54">
        <f>+IF(OR(M34=3,M34=2,M34=1),Factores!$C$5,0)</f>
        <v>10</v>
      </c>
      <c r="O34" s="16">
        <v>1</v>
      </c>
      <c r="P34" s="46">
        <f>+IF(O34=1,Factores!$C$6,0)</f>
        <v>10</v>
      </c>
      <c r="Q34" s="16">
        <v>1</v>
      </c>
      <c r="R34" s="46">
        <f>+IF(Q34=1,Factores!$C$7,0)</f>
        <v>10</v>
      </c>
      <c r="S34" s="16">
        <v>1</v>
      </c>
      <c r="T34" s="46">
        <f>+IF(S34=1,Factores!$C$8,0)</f>
        <v>20</v>
      </c>
      <c r="U34" s="16">
        <v>1</v>
      </c>
      <c r="V34" s="46">
        <f>+IF(U34=1,Factores!$C$9,0)</f>
        <v>5</v>
      </c>
      <c r="W34" s="16">
        <v>-1</v>
      </c>
      <c r="X34" s="16">
        <v>1</v>
      </c>
      <c r="Y34" s="46">
        <f>+IF((X34+W34)=1,Factores!$C$9,0)</f>
        <v>0</v>
      </c>
      <c r="Z34" s="25">
        <v>13</v>
      </c>
      <c r="AA34" s="48">
        <f t="shared" ref="AA34:AA53" si="2">+IF(Z34&gt;0,0.5,0)</f>
        <v>0.5</v>
      </c>
      <c r="AB34" s="16">
        <v>1</v>
      </c>
      <c r="AC34" s="54">
        <f>+IF(AB34=1,Factores!$C$11,IF(AA34=0.5,(Factores!$C$11/2),0))</f>
        <v>5</v>
      </c>
      <c r="AD34" s="49">
        <v>-1</v>
      </c>
      <c r="AE34" s="66">
        <f>+IF(AD34&lt;0,0,Factores!$C$12)</f>
        <v>0</v>
      </c>
      <c r="AF34" s="72">
        <f t="shared" ref="AF34:AF53" si="3">L34+N34+P34+R34+T34+V34+Y34+AC34+AE34</f>
        <v>65.658375171154717</v>
      </c>
      <c r="AG34" s="4" t="s">
        <v>165</v>
      </c>
    </row>
    <row r="35" spans="1:33" s="3" customFormat="1" ht="57.75" customHeight="1" thickBot="1" x14ac:dyDescent="0.3">
      <c r="A35" s="84">
        <v>34</v>
      </c>
      <c r="B35" s="80">
        <v>4.7178897989999999</v>
      </c>
      <c r="C35" s="80">
        <v>-74.111546590000003</v>
      </c>
      <c r="D35" s="16" t="s">
        <v>21</v>
      </c>
      <c r="E35" s="16" t="s">
        <v>22</v>
      </c>
      <c r="F35" s="81" t="s">
        <v>23</v>
      </c>
      <c r="G35" s="82" t="s">
        <v>10</v>
      </c>
      <c r="H35" s="83">
        <v>37987</v>
      </c>
      <c r="I35" s="85">
        <v>10884.220622309191</v>
      </c>
      <c r="J35" s="30">
        <v>3.1782394148747534E-2</v>
      </c>
      <c r="K35" s="56">
        <v>8458</v>
      </c>
      <c r="L35" s="60">
        <f>((K35-$K$56)/($K$55-$K$56))*Factores!$C$4</f>
        <v>7.2193062528525784</v>
      </c>
      <c r="M35" s="16">
        <v>3</v>
      </c>
      <c r="N35" s="54">
        <f>+IF(OR(M35=3,M35=2,M35=1),Factores!$C$5,0)</f>
        <v>10</v>
      </c>
      <c r="O35" s="16">
        <v>1</v>
      </c>
      <c r="P35" s="46">
        <f>+IF(O35=1,Factores!$C$6,0)</f>
        <v>10</v>
      </c>
      <c r="Q35" s="16">
        <v>1</v>
      </c>
      <c r="R35" s="46">
        <f>+IF(Q35=1,Factores!$C$7,0)</f>
        <v>10</v>
      </c>
      <c r="S35" s="16">
        <v>1</v>
      </c>
      <c r="T35" s="46">
        <f>+IF(S35=1,Factores!$C$8,0)</f>
        <v>20</v>
      </c>
      <c r="U35" s="16">
        <v>0</v>
      </c>
      <c r="V35" s="46">
        <f>+IF(U35=1,Factores!$C$9,0)</f>
        <v>0</v>
      </c>
      <c r="W35" s="16">
        <v>0</v>
      </c>
      <c r="X35" s="16">
        <v>1</v>
      </c>
      <c r="Y35" s="46">
        <f>+IF((X35+W35)=1,Factores!$C$9,0)</f>
        <v>5</v>
      </c>
      <c r="Z35" s="25">
        <v>5</v>
      </c>
      <c r="AA35" s="48">
        <f t="shared" si="2"/>
        <v>0.5</v>
      </c>
      <c r="AB35" s="16">
        <v>1</v>
      </c>
      <c r="AC35" s="54">
        <f>+IF(AB35=1,Factores!$C$11,IF(AA35=0.5,(Factores!$C$11/2),0))</f>
        <v>5</v>
      </c>
      <c r="AD35" s="49">
        <v>0</v>
      </c>
      <c r="AE35" s="66">
        <f>+IF(AD35&lt;0,0,Factores!$C$12)</f>
        <v>5</v>
      </c>
      <c r="AF35" s="72">
        <f t="shared" si="3"/>
        <v>72.219306252852576</v>
      </c>
      <c r="AG35" s="4" t="s">
        <v>156</v>
      </c>
    </row>
    <row r="36" spans="1:33" s="3" customFormat="1" ht="57.75" customHeight="1" thickBot="1" x14ac:dyDescent="0.3">
      <c r="A36" s="84">
        <v>35</v>
      </c>
      <c r="B36" s="80">
        <v>4.693151093</v>
      </c>
      <c r="C36" s="80">
        <v>-74.106456570000006</v>
      </c>
      <c r="D36" s="16" t="s">
        <v>81</v>
      </c>
      <c r="E36" s="16" t="s">
        <v>12</v>
      </c>
      <c r="F36" s="81" t="s">
        <v>82</v>
      </c>
      <c r="G36" s="82" t="s">
        <v>10</v>
      </c>
      <c r="H36" s="83">
        <v>37987</v>
      </c>
      <c r="I36" s="85">
        <v>11385.834420363521</v>
      </c>
      <c r="J36" s="30">
        <v>4.3327679187118835E-2</v>
      </c>
      <c r="K36" s="56">
        <v>8938</v>
      </c>
      <c r="L36" s="60">
        <f>((K36-$K$56)/($K$55-$K$56))*Factores!$C$4</f>
        <v>7.6300775901414877</v>
      </c>
      <c r="M36" s="16">
        <v>3</v>
      </c>
      <c r="N36" s="54">
        <f>+IF(OR(M36=3,M36=2,M36=1),Factores!$C$5,0)</f>
        <v>10</v>
      </c>
      <c r="O36" s="16">
        <v>1</v>
      </c>
      <c r="P36" s="46">
        <f>+IF(O36=1,Factores!$C$6,0)</f>
        <v>10</v>
      </c>
      <c r="Q36" s="16">
        <v>0</v>
      </c>
      <c r="R36" s="46">
        <f>+IF(Q36=1,Factores!$C$7,0)</f>
        <v>0</v>
      </c>
      <c r="S36" s="16">
        <v>1</v>
      </c>
      <c r="T36" s="46">
        <f>+IF(S36=1,Factores!$C$8,0)</f>
        <v>20</v>
      </c>
      <c r="U36" s="16">
        <v>1</v>
      </c>
      <c r="V36" s="46">
        <f>+IF(U36=1,Factores!$C$9,0)</f>
        <v>5</v>
      </c>
      <c r="W36" s="16">
        <v>0</v>
      </c>
      <c r="X36" s="16">
        <v>1</v>
      </c>
      <c r="Y36" s="46">
        <f>+IF((X36+W36)=1,Factores!$C$9,0)</f>
        <v>5</v>
      </c>
      <c r="Z36" s="25">
        <v>12</v>
      </c>
      <c r="AA36" s="48">
        <f t="shared" si="2"/>
        <v>0.5</v>
      </c>
      <c r="AB36" s="16">
        <v>1</v>
      </c>
      <c r="AC36" s="54">
        <f>+IF(AB36=1,Factores!$C$11,IF(AA36=0.5,(Factores!$C$11/2),0))</f>
        <v>5</v>
      </c>
      <c r="AD36" s="49">
        <v>0</v>
      </c>
      <c r="AE36" s="66">
        <f>+IF(AD36&lt;0,0,Factores!$C$12)</f>
        <v>5</v>
      </c>
      <c r="AF36" s="72">
        <f t="shared" si="3"/>
        <v>67.630077590141497</v>
      </c>
      <c r="AG36" s="4" t="s">
        <v>157</v>
      </c>
    </row>
    <row r="37" spans="1:33" s="3" customFormat="1" ht="57.75" customHeight="1" thickBot="1" x14ac:dyDescent="0.3">
      <c r="A37" s="84">
        <v>36</v>
      </c>
      <c r="B37" s="80">
        <v>4.7068518040000003</v>
      </c>
      <c r="C37" s="80">
        <v>-74.113147609999999</v>
      </c>
      <c r="D37" s="16" t="s">
        <v>16</v>
      </c>
      <c r="E37" s="16" t="s">
        <v>17</v>
      </c>
      <c r="F37" s="81" t="s">
        <v>18</v>
      </c>
      <c r="G37" s="82" t="s">
        <v>10</v>
      </c>
      <c r="H37" s="83">
        <v>37987</v>
      </c>
      <c r="I37" s="85">
        <v>11522.07522943864</v>
      </c>
      <c r="J37" s="30">
        <v>2.2009780992828087E-2</v>
      </c>
      <c r="K37" s="56">
        <v>7247</v>
      </c>
      <c r="L37" s="60">
        <f>((K37-$K$56)/($K$55-$K$56))*Factores!$C$4</f>
        <v>6.1829643998174353</v>
      </c>
      <c r="M37" s="16">
        <v>3</v>
      </c>
      <c r="N37" s="54">
        <f>+IF(OR(M37=3,M37=2,M37=1),Factores!$C$5,0)</f>
        <v>10</v>
      </c>
      <c r="O37" s="16">
        <v>0</v>
      </c>
      <c r="P37" s="46">
        <f>+IF(O37=1,Factores!$C$6,0)</f>
        <v>0</v>
      </c>
      <c r="Q37" s="16">
        <v>0</v>
      </c>
      <c r="R37" s="46">
        <f>+IF(Q37=1,Factores!$C$7,0)</f>
        <v>0</v>
      </c>
      <c r="S37" s="16">
        <v>0</v>
      </c>
      <c r="T37" s="46">
        <f>+IF(S37=1,Factores!$C$8,0)</f>
        <v>0</v>
      </c>
      <c r="U37" s="16">
        <v>0</v>
      </c>
      <c r="V37" s="46">
        <f>+IF(U37=1,Factores!$C$9,0)</f>
        <v>0</v>
      </c>
      <c r="W37" s="16">
        <v>0</v>
      </c>
      <c r="X37" s="16">
        <v>1</v>
      </c>
      <c r="Y37" s="46">
        <f>+IF((X37+W37)=1,Factores!$C$9,0)</f>
        <v>5</v>
      </c>
      <c r="Z37" s="25">
        <v>3</v>
      </c>
      <c r="AA37" s="48">
        <f t="shared" si="2"/>
        <v>0.5</v>
      </c>
      <c r="AB37" s="16">
        <v>0</v>
      </c>
      <c r="AC37" s="54">
        <f>+IF(AB37=1,Factores!$C$11,IF(AA37=0.5,(Factores!$C$11/2),0))</f>
        <v>2.5</v>
      </c>
      <c r="AD37" s="49">
        <v>0</v>
      </c>
      <c r="AE37" s="66">
        <f>+IF(AD37&lt;0,0,Factores!$C$12)</f>
        <v>5</v>
      </c>
      <c r="AF37" s="72">
        <f t="shared" si="3"/>
        <v>28.682964399817436</v>
      </c>
      <c r="AG37" s="4" t="s">
        <v>158</v>
      </c>
    </row>
    <row r="38" spans="1:33" s="3" customFormat="1" ht="57.75" customHeight="1" thickBot="1" x14ac:dyDescent="0.3">
      <c r="A38" s="84">
        <v>37</v>
      </c>
      <c r="B38" s="80">
        <v>4.6889973520000003</v>
      </c>
      <c r="C38" s="80">
        <v>-74.101766670000004</v>
      </c>
      <c r="D38" s="16" t="s">
        <v>56</v>
      </c>
      <c r="E38" s="16" t="s">
        <v>12</v>
      </c>
      <c r="F38" s="81" t="s">
        <v>57</v>
      </c>
      <c r="G38" s="82" t="s">
        <v>10</v>
      </c>
      <c r="H38" s="83">
        <v>37987</v>
      </c>
      <c r="I38" s="85">
        <v>12194.975135945489</v>
      </c>
      <c r="J38" s="30">
        <v>4.6057473111291346E-2</v>
      </c>
      <c r="K38" s="56">
        <v>10421</v>
      </c>
      <c r="L38" s="60">
        <f>((K38-$K$56)/($K$55-$K$56))*Factores!$C$4</f>
        <v>8.8991898676403469</v>
      </c>
      <c r="M38" s="16">
        <v>3</v>
      </c>
      <c r="N38" s="54">
        <f>+IF(OR(M38=3,M38=2,M38=1),Factores!$C$5,0)</f>
        <v>10</v>
      </c>
      <c r="O38" s="16">
        <v>1</v>
      </c>
      <c r="P38" s="46">
        <f>+IF(O38=1,Factores!$C$6,0)</f>
        <v>10</v>
      </c>
      <c r="Q38" s="16">
        <v>1</v>
      </c>
      <c r="R38" s="46">
        <f>+IF(Q38=1,Factores!$C$7,0)</f>
        <v>10</v>
      </c>
      <c r="S38" s="16">
        <v>0</v>
      </c>
      <c r="T38" s="46">
        <f>+IF(S38=1,Factores!$C$8,0)</f>
        <v>0</v>
      </c>
      <c r="U38" s="16">
        <v>1</v>
      </c>
      <c r="V38" s="46">
        <f>+IF(U38=1,Factores!$C$9,0)</f>
        <v>5</v>
      </c>
      <c r="W38" s="18">
        <v>-1</v>
      </c>
      <c r="X38" s="16">
        <v>1</v>
      </c>
      <c r="Y38" s="46">
        <f>+IF((X38+W38)=1,Factores!$C$9,0)</f>
        <v>0</v>
      </c>
      <c r="Z38" s="25">
        <v>7</v>
      </c>
      <c r="AA38" s="48">
        <f t="shared" si="2"/>
        <v>0.5</v>
      </c>
      <c r="AB38" s="16">
        <v>1</v>
      </c>
      <c r="AC38" s="54">
        <f>+IF(AB38=1,Factores!$C$11,IF(AA38=0.5,(Factores!$C$11/2),0))</f>
        <v>5</v>
      </c>
      <c r="AD38" s="49">
        <v>0</v>
      </c>
      <c r="AE38" s="66">
        <f>+IF(AD38&lt;0,0,Factores!$C$12)</f>
        <v>5</v>
      </c>
      <c r="AF38" s="72">
        <f t="shared" si="3"/>
        <v>53.899189867640345</v>
      </c>
      <c r="AG38" s="4" t="s">
        <v>166</v>
      </c>
    </row>
    <row r="39" spans="1:33" s="3" customFormat="1" ht="57.75" customHeight="1" thickBot="1" x14ac:dyDescent="0.3">
      <c r="A39" s="84">
        <v>38</v>
      </c>
      <c r="B39" s="80">
        <v>4.7051268090000002</v>
      </c>
      <c r="C39" s="80">
        <v>-74.10059699</v>
      </c>
      <c r="D39" s="16" t="s">
        <v>58</v>
      </c>
      <c r="E39" s="16" t="s">
        <v>53</v>
      </c>
      <c r="F39" s="81" t="s">
        <v>59</v>
      </c>
      <c r="G39" s="82" t="s">
        <v>10</v>
      </c>
      <c r="H39" s="83">
        <v>37987</v>
      </c>
      <c r="I39" s="85">
        <v>12515.21598866507</v>
      </c>
      <c r="J39" s="30">
        <v>3.9286646750352483E-2</v>
      </c>
      <c r="K39" s="56">
        <v>8657</v>
      </c>
      <c r="L39" s="60">
        <f>((K39-$K$56)/($K$55-$K$56))*Factores!$C$4</f>
        <v>7.3896052031036055</v>
      </c>
      <c r="M39" s="16">
        <v>3</v>
      </c>
      <c r="N39" s="54">
        <f>+IF(OR(M39=3,M39=2,M39=1),Factores!$C$5,0)</f>
        <v>10</v>
      </c>
      <c r="O39" s="16">
        <v>1</v>
      </c>
      <c r="P39" s="46">
        <f>+IF(O39=1,Factores!$C$6,0)</f>
        <v>10</v>
      </c>
      <c r="Q39" s="16">
        <v>0</v>
      </c>
      <c r="R39" s="46">
        <f>+IF(Q39=1,Factores!$C$7,0)</f>
        <v>0</v>
      </c>
      <c r="S39" s="16">
        <v>1</v>
      </c>
      <c r="T39" s="46">
        <f>+IF(S39=1,Factores!$C$8,0)</f>
        <v>20</v>
      </c>
      <c r="U39" s="16">
        <v>0</v>
      </c>
      <c r="V39" s="46">
        <f>+IF(U39=1,Factores!$C$9,0)</f>
        <v>0</v>
      </c>
      <c r="W39" s="16">
        <v>0</v>
      </c>
      <c r="X39" s="16">
        <v>1</v>
      </c>
      <c r="Y39" s="46">
        <f>+IF((X39+W39)=1,Factores!$C$9,0)</f>
        <v>5</v>
      </c>
      <c r="Z39" s="25">
        <v>6</v>
      </c>
      <c r="AA39" s="48">
        <f t="shared" si="2"/>
        <v>0.5</v>
      </c>
      <c r="AB39" s="16">
        <v>0</v>
      </c>
      <c r="AC39" s="54">
        <f>+IF(AB39=1,Factores!$C$11,IF(AA39=0.5,(Factores!$C$11/2),0))</f>
        <v>2.5</v>
      </c>
      <c r="AD39" s="49">
        <v>0</v>
      </c>
      <c r="AE39" s="66">
        <f>+IF(AD39&lt;0,0,Factores!$C$12)</f>
        <v>5</v>
      </c>
      <c r="AF39" s="72">
        <f t="shared" si="3"/>
        <v>59.889605203103606</v>
      </c>
      <c r="AG39" s="4" t="s">
        <v>167</v>
      </c>
    </row>
    <row r="40" spans="1:33" s="3" customFormat="1" ht="57.75" customHeight="1" thickBot="1" x14ac:dyDescent="0.3">
      <c r="A40" s="84">
        <v>39</v>
      </c>
      <c r="B40" s="80">
        <v>4.7244817230000002</v>
      </c>
      <c r="C40" s="80">
        <v>-74.122942260000002</v>
      </c>
      <c r="D40" s="16" t="s">
        <v>88</v>
      </c>
      <c r="E40" s="16" t="s">
        <v>22</v>
      </c>
      <c r="F40" s="81" t="s">
        <v>89</v>
      </c>
      <c r="G40" s="82" t="s">
        <v>10</v>
      </c>
      <c r="H40" s="83">
        <v>37987</v>
      </c>
      <c r="I40" s="85">
        <v>12561.064883492159</v>
      </c>
      <c r="J40" s="30">
        <v>1.9552948515931253E-2</v>
      </c>
      <c r="K40" s="56">
        <v>7514</v>
      </c>
      <c r="L40" s="60">
        <f>((K40-$K$56)/($K$55-$K$56))*Factores!$C$4</f>
        <v>6.4114559561843905</v>
      </c>
      <c r="M40" s="16">
        <v>3</v>
      </c>
      <c r="N40" s="54">
        <f>+IF(OR(M40=3,M40=2,M40=1),Factores!$C$5,0)</f>
        <v>10</v>
      </c>
      <c r="O40" s="16">
        <v>1</v>
      </c>
      <c r="P40" s="46">
        <f>+IF(O40=1,Factores!$C$6,0)</f>
        <v>10</v>
      </c>
      <c r="Q40" s="16">
        <v>1</v>
      </c>
      <c r="R40" s="46">
        <f>+IF(Q40=1,Factores!$C$7,0)</f>
        <v>10</v>
      </c>
      <c r="S40" s="16">
        <v>1</v>
      </c>
      <c r="T40" s="46">
        <f>+IF(S40=1,Factores!$C$8,0)</f>
        <v>20</v>
      </c>
      <c r="U40" s="16">
        <v>1</v>
      </c>
      <c r="V40" s="46">
        <f>+IF(U40=1,Factores!$C$9,0)</f>
        <v>5</v>
      </c>
      <c r="W40" s="16">
        <v>0</v>
      </c>
      <c r="X40" s="16">
        <v>1</v>
      </c>
      <c r="Y40" s="46">
        <f>+IF((X40+W40)=1,Factores!$C$9,0)</f>
        <v>5</v>
      </c>
      <c r="Z40" s="25">
        <v>12</v>
      </c>
      <c r="AA40" s="48">
        <f t="shared" si="2"/>
        <v>0.5</v>
      </c>
      <c r="AB40" s="16">
        <v>0</v>
      </c>
      <c r="AC40" s="54">
        <f>+IF(AB40=1,Factores!$C$11,IF(AA40=0.5,(Factores!$C$11/2),0))</f>
        <v>2.5</v>
      </c>
      <c r="AD40" s="49">
        <v>0</v>
      </c>
      <c r="AE40" s="66">
        <f>+IF(AD40&lt;0,0,Factores!$C$12)</f>
        <v>5</v>
      </c>
      <c r="AF40" s="72">
        <f t="shared" si="3"/>
        <v>73.911455956184398</v>
      </c>
      <c r="AG40" s="4" t="s">
        <v>168</v>
      </c>
    </row>
    <row r="41" spans="1:33" s="3" customFormat="1" ht="57.75" customHeight="1" thickBot="1" x14ac:dyDescent="0.3">
      <c r="A41" s="84">
        <v>40</v>
      </c>
      <c r="B41" s="80">
        <v>4.6892992219999998</v>
      </c>
      <c r="C41" s="80">
        <v>-74.089682199999999</v>
      </c>
      <c r="D41" s="16" t="s">
        <v>35</v>
      </c>
      <c r="E41" s="16" t="s">
        <v>31</v>
      </c>
      <c r="F41" s="81" t="s">
        <v>36</v>
      </c>
      <c r="G41" s="82" t="s">
        <v>10</v>
      </c>
      <c r="H41" s="83">
        <v>37987</v>
      </c>
      <c r="I41" s="85">
        <v>12873.521346742309</v>
      </c>
      <c r="J41" s="30">
        <v>2.8720963971468026E-2</v>
      </c>
      <c r="K41" s="56">
        <v>8070</v>
      </c>
      <c r="L41" s="60">
        <f>((K41-$K$56)/($K$55-$K$56))*Factores!$C$4</f>
        <v>6.8872660885440435</v>
      </c>
      <c r="M41" s="16">
        <v>3</v>
      </c>
      <c r="N41" s="54">
        <f>+IF(OR(M41=3,M41=2,M41=1),Factores!$C$5,0)</f>
        <v>10</v>
      </c>
      <c r="O41" s="16">
        <v>1</v>
      </c>
      <c r="P41" s="46">
        <f>+IF(O41=1,Factores!$C$6,0)</f>
        <v>10</v>
      </c>
      <c r="Q41" s="16">
        <v>1</v>
      </c>
      <c r="R41" s="46">
        <f>+IF(Q41=1,Factores!$C$7,0)</f>
        <v>10</v>
      </c>
      <c r="S41" s="16">
        <v>0</v>
      </c>
      <c r="T41" s="46">
        <f>+IF(S41=1,Factores!$C$8,0)</f>
        <v>0</v>
      </c>
      <c r="U41" s="16">
        <v>1</v>
      </c>
      <c r="V41" s="46">
        <f>+IF(U41=1,Factores!$C$9,0)</f>
        <v>5</v>
      </c>
      <c r="W41" s="16">
        <v>0</v>
      </c>
      <c r="X41" s="16">
        <v>1</v>
      </c>
      <c r="Y41" s="46">
        <f>+IF((X41+W41)=1,Factores!$C$9,0)</f>
        <v>5</v>
      </c>
      <c r="Z41" s="25">
        <v>7</v>
      </c>
      <c r="AA41" s="48">
        <f t="shared" si="2"/>
        <v>0.5</v>
      </c>
      <c r="AB41" s="16">
        <v>1</v>
      </c>
      <c r="AC41" s="54">
        <f>+IF(AB41=1,Factores!$C$11,IF(AA41=0.5,(Factores!$C$11/2),0))</f>
        <v>5</v>
      </c>
      <c r="AD41" s="49">
        <v>0</v>
      </c>
      <c r="AE41" s="66">
        <f>+IF(AD41&lt;0,0,Factores!$C$12)</f>
        <v>5</v>
      </c>
      <c r="AF41" s="72">
        <f t="shared" si="3"/>
        <v>56.887266088544045</v>
      </c>
      <c r="AG41" s="4" t="s">
        <v>169</v>
      </c>
    </row>
    <row r="42" spans="1:33" s="3" customFormat="1" ht="57.75" customHeight="1" thickBot="1" x14ac:dyDescent="0.3">
      <c r="A42" s="84">
        <v>41</v>
      </c>
      <c r="B42" s="80">
        <v>4.6777975789999999</v>
      </c>
      <c r="C42" s="80">
        <v>-74.112918649999997</v>
      </c>
      <c r="D42" s="16" t="s">
        <v>24</v>
      </c>
      <c r="E42" s="16" t="s">
        <v>4</v>
      </c>
      <c r="F42" s="81" t="s">
        <v>25</v>
      </c>
      <c r="G42" s="82" t="s">
        <v>10</v>
      </c>
      <c r="H42" s="83">
        <v>37987</v>
      </c>
      <c r="I42" s="85">
        <v>13155.09404038418</v>
      </c>
      <c r="J42" s="30">
        <v>2.7198071559158349E-2</v>
      </c>
      <c r="K42" s="56">
        <v>8117</v>
      </c>
      <c r="L42" s="60">
        <f>((K42-$K$56)/($K$55-$K$56))*Factores!$C$4</f>
        <v>6.9274874486535829</v>
      </c>
      <c r="M42" s="16">
        <v>3</v>
      </c>
      <c r="N42" s="54">
        <f>+IF(OR(M42=3,M42=2,M42=1),Factores!$C$5,0)</f>
        <v>10</v>
      </c>
      <c r="O42" s="16">
        <v>1</v>
      </c>
      <c r="P42" s="46">
        <f>+IF(O42=1,Factores!$C$6,0)</f>
        <v>10</v>
      </c>
      <c r="Q42" s="16">
        <v>1</v>
      </c>
      <c r="R42" s="46">
        <f>+IF(Q42=1,Factores!$C$7,0)</f>
        <v>10</v>
      </c>
      <c r="S42" s="16">
        <v>0</v>
      </c>
      <c r="T42" s="46">
        <f>+IF(S42=1,Factores!$C$8,0)</f>
        <v>0</v>
      </c>
      <c r="U42" s="16">
        <v>0</v>
      </c>
      <c r="V42" s="46">
        <f>+IF(U42=1,Factores!$C$9,0)</f>
        <v>0</v>
      </c>
      <c r="W42" s="16">
        <v>0</v>
      </c>
      <c r="X42" s="16">
        <v>1</v>
      </c>
      <c r="Y42" s="46">
        <f>+IF((X42+W42)=1,Factores!$C$9,0)</f>
        <v>5</v>
      </c>
      <c r="Z42" s="25">
        <v>11</v>
      </c>
      <c r="AA42" s="48">
        <f t="shared" si="2"/>
        <v>0.5</v>
      </c>
      <c r="AB42" s="16">
        <v>1</v>
      </c>
      <c r="AC42" s="54">
        <f>+IF(AB42=1,Factores!$C$11,IF(AA42=0.5,(Factores!$C$11/2),0))</f>
        <v>5</v>
      </c>
      <c r="AD42" s="49">
        <v>0</v>
      </c>
      <c r="AE42" s="66">
        <f>+IF(AD42&lt;0,0,Factores!$C$12)</f>
        <v>5</v>
      </c>
      <c r="AF42" s="72">
        <f t="shared" si="3"/>
        <v>51.927487448653579</v>
      </c>
      <c r="AG42" s="4" t="s">
        <v>170</v>
      </c>
    </row>
    <row r="43" spans="1:33" s="3" customFormat="1" ht="57.75" customHeight="1" thickBot="1" x14ac:dyDescent="0.3">
      <c r="A43" s="84">
        <v>42</v>
      </c>
      <c r="B43" s="80">
        <v>4.6821111259999997</v>
      </c>
      <c r="C43" s="80">
        <v>-74.096791629999998</v>
      </c>
      <c r="D43" s="16" t="s">
        <v>30</v>
      </c>
      <c r="E43" s="16" t="s">
        <v>31</v>
      </c>
      <c r="F43" s="81" t="s">
        <v>32</v>
      </c>
      <c r="G43" s="82" t="s">
        <v>10</v>
      </c>
      <c r="H43" s="83">
        <v>37987</v>
      </c>
      <c r="I43" s="85">
        <v>13459.140465401861</v>
      </c>
      <c r="J43" s="30">
        <v>3.5533711206475492E-2</v>
      </c>
      <c r="K43" s="56">
        <v>10602</v>
      </c>
      <c r="L43" s="60">
        <f>((K43-$K$56)/($K$55-$K$56))*Factores!$C$4</f>
        <v>9.0540848927430382</v>
      </c>
      <c r="M43" s="16">
        <v>3</v>
      </c>
      <c r="N43" s="54">
        <f>+IF(OR(M43=3,M43=2,M43=1),Factores!$C$5,0)</f>
        <v>10</v>
      </c>
      <c r="O43" s="16">
        <v>1</v>
      </c>
      <c r="P43" s="46">
        <f>+IF(O43=1,Factores!$C$6,0)</f>
        <v>10</v>
      </c>
      <c r="Q43" s="16">
        <v>1</v>
      </c>
      <c r="R43" s="46">
        <f>+IF(Q43=1,Factores!$C$7,0)</f>
        <v>10</v>
      </c>
      <c r="S43" s="16">
        <v>1</v>
      </c>
      <c r="T43" s="46">
        <f>+IF(S43=1,Factores!$C$8,0)</f>
        <v>20</v>
      </c>
      <c r="U43" s="16">
        <v>0</v>
      </c>
      <c r="V43" s="46">
        <f>+IF(U43=1,Factores!$C$9,0)</f>
        <v>0</v>
      </c>
      <c r="W43" s="16">
        <v>0</v>
      </c>
      <c r="X43" s="16">
        <v>1</v>
      </c>
      <c r="Y43" s="46">
        <f>+IF((X43+W43)=1,Factores!$C$9,0)</f>
        <v>5</v>
      </c>
      <c r="Z43" s="25">
        <v>11</v>
      </c>
      <c r="AA43" s="48">
        <f t="shared" si="2"/>
        <v>0.5</v>
      </c>
      <c r="AB43" s="16">
        <v>0</v>
      </c>
      <c r="AC43" s="54">
        <f>+IF(AB43=1,Factores!$C$11,IF(AA43=0.5,(Factores!$C$11/2),0))</f>
        <v>2.5</v>
      </c>
      <c r="AD43" s="49">
        <v>0</v>
      </c>
      <c r="AE43" s="66">
        <f>+IF(AD43&lt;0,0,Factores!$C$12)</f>
        <v>5</v>
      </c>
      <c r="AF43" s="72">
        <f t="shared" si="3"/>
        <v>71.554084892743035</v>
      </c>
      <c r="AG43" s="4" t="s">
        <v>171</v>
      </c>
    </row>
    <row r="44" spans="1:33" s="3" customFormat="1" ht="57.75" customHeight="1" thickBot="1" x14ac:dyDescent="0.3">
      <c r="A44" s="84">
        <v>43</v>
      </c>
      <c r="B44" s="80">
        <v>4.686719053</v>
      </c>
      <c r="C44" s="80">
        <v>-74.108701760000002</v>
      </c>
      <c r="D44" s="16" t="s">
        <v>83</v>
      </c>
      <c r="E44" s="16" t="s">
        <v>4</v>
      </c>
      <c r="F44" s="81" t="s">
        <v>84</v>
      </c>
      <c r="G44" s="82" t="s">
        <v>10</v>
      </c>
      <c r="H44" s="83">
        <v>37987</v>
      </c>
      <c r="I44" s="85">
        <v>17275.110041543579</v>
      </c>
      <c r="J44" s="30">
        <v>4.0818778716683587E-2</v>
      </c>
      <c r="K44" s="56">
        <v>10136</v>
      </c>
      <c r="L44" s="60">
        <f>((K44-$K$56)/($K$55-$K$56))*Factores!$C$4</f>
        <v>8.6552943861250569</v>
      </c>
      <c r="M44" s="16">
        <v>3</v>
      </c>
      <c r="N44" s="54">
        <f>+IF(OR(M44=3,M44=2,M44=1),Factores!$C$5,0)</f>
        <v>10</v>
      </c>
      <c r="O44" s="16">
        <v>1</v>
      </c>
      <c r="P44" s="46">
        <f>+IF(O44=1,Factores!$C$6,0)</f>
        <v>10</v>
      </c>
      <c r="Q44" s="16">
        <v>0</v>
      </c>
      <c r="R44" s="46">
        <f>+IF(Q44=1,Factores!$C$7,0)</f>
        <v>0</v>
      </c>
      <c r="S44" s="16">
        <v>1</v>
      </c>
      <c r="T44" s="46">
        <f>+IF(S44=1,Factores!$C$8,0)</f>
        <v>20</v>
      </c>
      <c r="U44" s="16">
        <v>0</v>
      </c>
      <c r="V44" s="46">
        <f>+IF(U44=1,Factores!$C$9,0)</f>
        <v>0</v>
      </c>
      <c r="W44" s="16">
        <v>0</v>
      </c>
      <c r="X44" s="16">
        <v>1</v>
      </c>
      <c r="Y44" s="46">
        <f>+IF((X44+W44)=1,Factores!$C$9,0)</f>
        <v>5</v>
      </c>
      <c r="Z44" s="25">
        <v>9</v>
      </c>
      <c r="AA44" s="48">
        <f t="shared" si="2"/>
        <v>0.5</v>
      </c>
      <c r="AB44" s="16">
        <v>1</v>
      </c>
      <c r="AC44" s="54">
        <f>+IF(AB44=1,Factores!$C$11,IF(AA44=0.5,(Factores!$C$11/2),0))</f>
        <v>5</v>
      </c>
      <c r="AD44" s="49">
        <v>0</v>
      </c>
      <c r="AE44" s="66">
        <f>+IF(AD44&lt;0,0,Factores!$C$12)</f>
        <v>5</v>
      </c>
      <c r="AF44" s="72">
        <f t="shared" si="3"/>
        <v>63.655294386125057</v>
      </c>
      <c r="AG44" s="4" t="s">
        <v>172</v>
      </c>
    </row>
    <row r="45" spans="1:33" s="3" customFormat="1" ht="57.75" customHeight="1" thickBot="1" x14ac:dyDescent="0.3">
      <c r="A45" s="84">
        <v>44</v>
      </c>
      <c r="B45" s="80">
        <v>4.6933138440000004</v>
      </c>
      <c r="C45" s="80">
        <v>-74.09675756</v>
      </c>
      <c r="D45" s="16" t="s">
        <v>77</v>
      </c>
      <c r="E45" s="16" t="s">
        <v>12</v>
      </c>
      <c r="F45" s="81" t="s">
        <v>78</v>
      </c>
      <c r="G45" s="82" t="s">
        <v>6</v>
      </c>
      <c r="H45" s="83">
        <v>37987</v>
      </c>
      <c r="I45" s="85">
        <v>18458.102963115121</v>
      </c>
      <c r="J45" s="30">
        <v>2.1274674962815775E-2</v>
      </c>
      <c r="K45" s="56">
        <v>6572</v>
      </c>
      <c r="L45" s="60">
        <f>((K45-$K$56)/($K$55-$K$56))*Factores!$C$4</f>
        <v>5.6053172067549069</v>
      </c>
      <c r="M45" s="16">
        <v>3</v>
      </c>
      <c r="N45" s="54">
        <f>+IF(OR(M45=3,M45=2,M45=1),Factores!$C$5,0)</f>
        <v>10</v>
      </c>
      <c r="O45" s="16">
        <v>1</v>
      </c>
      <c r="P45" s="46">
        <f>+IF(O45=1,Factores!$C$6,0)</f>
        <v>10</v>
      </c>
      <c r="Q45" s="16">
        <v>1</v>
      </c>
      <c r="R45" s="46">
        <f>+IF(Q45=1,Factores!$C$7,0)</f>
        <v>10</v>
      </c>
      <c r="S45" s="16">
        <v>0</v>
      </c>
      <c r="T45" s="46">
        <f>+IF(S45=1,Factores!$C$8,0)</f>
        <v>0</v>
      </c>
      <c r="U45" s="16">
        <v>1</v>
      </c>
      <c r="V45" s="46">
        <f>+IF(U45=1,Factores!$C$9,0)</f>
        <v>5</v>
      </c>
      <c r="W45" s="16">
        <v>-1</v>
      </c>
      <c r="X45" s="16">
        <v>1</v>
      </c>
      <c r="Y45" s="46">
        <f>+IF((X45+W45)=1,Factores!$C$9,0)</f>
        <v>0</v>
      </c>
      <c r="Z45" s="25">
        <v>9</v>
      </c>
      <c r="AA45" s="48">
        <f t="shared" si="2"/>
        <v>0.5</v>
      </c>
      <c r="AB45" s="16">
        <v>1</v>
      </c>
      <c r="AC45" s="54">
        <f>+IF(AB45=1,Factores!$C$11,IF(AA45=0.5,(Factores!$C$11/2),0))</f>
        <v>5</v>
      </c>
      <c r="AD45" s="49">
        <v>-1</v>
      </c>
      <c r="AE45" s="66">
        <f>+IF(AD45&lt;0,0,Factores!$C$12)</f>
        <v>0</v>
      </c>
      <c r="AF45" s="72">
        <f t="shared" si="3"/>
        <v>45.605317206754904</v>
      </c>
      <c r="AG45" s="4" t="s">
        <v>173</v>
      </c>
    </row>
    <row r="46" spans="1:33" s="3" customFormat="1" ht="57.75" customHeight="1" thickBot="1" x14ac:dyDescent="0.3">
      <c r="A46" s="84">
        <v>45</v>
      </c>
      <c r="B46" s="80">
        <v>4.6725628400000003</v>
      </c>
      <c r="C46" s="80">
        <v>-74.109528069999996</v>
      </c>
      <c r="D46" s="16" t="s">
        <v>14</v>
      </c>
      <c r="E46" s="16" t="s">
        <v>4</v>
      </c>
      <c r="F46" s="81" t="s">
        <v>15</v>
      </c>
      <c r="G46" s="82" t="s">
        <v>10</v>
      </c>
      <c r="H46" s="83">
        <v>37987</v>
      </c>
      <c r="I46" s="85">
        <v>20217.250517408469</v>
      </c>
      <c r="J46" s="30">
        <v>1.8299966286324024E-2</v>
      </c>
      <c r="K46" s="56">
        <v>4405</v>
      </c>
      <c r="L46" s="60">
        <f>((K46-$K$56)/($K$55-$K$56))*Factores!$C$4</f>
        <v>3.7508557736193513</v>
      </c>
      <c r="M46" s="16">
        <v>4</v>
      </c>
      <c r="N46" s="54">
        <f>+IF(OR(M46=3,M46=2,M46=1),Factores!$C$5,0)</f>
        <v>0</v>
      </c>
      <c r="O46" s="16">
        <v>1</v>
      </c>
      <c r="P46" s="46">
        <f>+IF(O46=1,Factores!$C$6,0)</f>
        <v>10</v>
      </c>
      <c r="Q46" s="16">
        <v>0</v>
      </c>
      <c r="R46" s="46">
        <f>+IF(Q46=1,Factores!$C$7,0)</f>
        <v>0</v>
      </c>
      <c r="S46" s="16">
        <v>1</v>
      </c>
      <c r="T46" s="46">
        <f>+IF(S46=1,Factores!$C$8,0)</f>
        <v>20</v>
      </c>
      <c r="U46" s="16">
        <v>0</v>
      </c>
      <c r="V46" s="46">
        <f>+IF(U46=1,Factores!$C$9,0)</f>
        <v>0</v>
      </c>
      <c r="W46" s="16">
        <v>0</v>
      </c>
      <c r="X46" s="16">
        <v>1</v>
      </c>
      <c r="Y46" s="46">
        <f>+IF((X46+W46)=1,Factores!$C$9,0)</f>
        <v>5</v>
      </c>
      <c r="Z46" s="25">
        <v>8</v>
      </c>
      <c r="AA46" s="48">
        <f t="shared" si="2"/>
        <v>0.5</v>
      </c>
      <c r="AB46" s="16">
        <v>1</v>
      </c>
      <c r="AC46" s="54">
        <f>+IF(AB46=1,Factores!$C$11,IF(AA46=0.5,(Factores!$C$11/2),0))</f>
        <v>5</v>
      </c>
      <c r="AD46" s="49">
        <v>0</v>
      </c>
      <c r="AE46" s="66">
        <f>+IF(AD46&lt;0,0,Factores!$C$12)</f>
        <v>5</v>
      </c>
      <c r="AF46" s="72">
        <f t="shared" si="3"/>
        <v>48.75085577361935</v>
      </c>
      <c r="AG46" s="4" t="s">
        <v>174</v>
      </c>
    </row>
    <row r="47" spans="1:33" s="3" customFormat="1" ht="57.75" customHeight="1" thickBot="1" x14ac:dyDescent="0.3">
      <c r="A47" s="84">
        <v>46</v>
      </c>
      <c r="B47" s="80">
        <v>4.6880644519999999</v>
      </c>
      <c r="C47" s="80">
        <v>-74.114354840000004</v>
      </c>
      <c r="D47" s="16" t="s">
        <v>62</v>
      </c>
      <c r="E47" s="16" t="s">
        <v>8</v>
      </c>
      <c r="F47" s="81" t="s">
        <v>63</v>
      </c>
      <c r="G47" s="82" t="s">
        <v>10</v>
      </c>
      <c r="H47" s="83">
        <v>37987</v>
      </c>
      <c r="I47" s="85">
        <v>30163.765722425611</v>
      </c>
      <c r="J47" s="30">
        <v>9.7988507950158461E-3</v>
      </c>
      <c r="K47" s="56">
        <v>3910</v>
      </c>
      <c r="L47" s="60">
        <f>((K47-$K$56)/($K$55-$K$56))*Factores!$C$4</f>
        <v>3.3272478320401642</v>
      </c>
      <c r="M47" s="16">
        <v>3</v>
      </c>
      <c r="N47" s="54">
        <f>+IF(OR(M47=3,M47=2,M47=1),Factores!$C$5,0)</f>
        <v>10</v>
      </c>
      <c r="O47" s="16">
        <v>1</v>
      </c>
      <c r="P47" s="46">
        <f>+IF(O47=1,Factores!$C$6,0)</f>
        <v>10</v>
      </c>
      <c r="Q47" s="16">
        <v>0</v>
      </c>
      <c r="R47" s="46">
        <f>+IF(Q47=1,Factores!$C$7,0)</f>
        <v>0</v>
      </c>
      <c r="S47" s="16">
        <v>0</v>
      </c>
      <c r="T47" s="46">
        <f>+IF(S47=1,Factores!$C$8,0)</f>
        <v>0</v>
      </c>
      <c r="U47" s="16">
        <v>0</v>
      </c>
      <c r="V47" s="46">
        <f>+IF(U47=1,Factores!$C$9,0)</f>
        <v>0</v>
      </c>
      <c r="W47" s="16">
        <v>-1</v>
      </c>
      <c r="X47" s="16">
        <v>0</v>
      </c>
      <c r="Y47" s="46">
        <f>+IF((X47+W47)=1,Factores!$C$9,0)</f>
        <v>0</v>
      </c>
      <c r="Z47" s="25">
        <v>4</v>
      </c>
      <c r="AA47" s="48">
        <f t="shared" si="2"/>
        <v>0.5</v>
      </c>
      <c r="AB47" s="16">
        <v>1</v>
      </c>
      <c r="AC47" s="54">
        <f>+IF(AB47=1,Factores!$C$11,IF(AA47=0.5,(Factores!$C$11/2),0))</f>
        <v>5</v>
      </c>
      <c r="AD47" s="49">
        <v>0</v>
      </c>
      <c r="AE47" s="66">
        <f>+IF(AD47&lt;0,0,Factores!$C$12)</f>
        <v>5</v>
      </c>
      <c r="AF47" s="72">
        <f t="shared" si="3"/>
        <v>33.327247832040165</v>
      </c>
      <c r="AG47" s="4" t="s">
        <v>175</v>
      </c>
    </row>
    <row r="48" spans="1:33" s="3" customFormat="1" ht="57.75" customHeight="1" thickBot="1" x14ac:dyDescent="0.3">
      <c r="A48" s="84">
        <v>47</v>
      </c>
      <c r="B48" s="80">
        <v>4.7037365949999996</v>
      </c>
      <c r="C48" s="80">
        <v>-74.118470160000001</v>
      </c>
      <c r="D48" s="16" t="s">
        <v>50</v>
      </c>
      <c r="E48" s="16" t="s">
        <v>17</v>
      </c>
      <c r="F48" s="81" t="s">
        <v>51</v>
      </c>
      <c r="G48" s="82" t="s">
        <v>6</v>
      </c>
      <c r="H48" s="83">
        <v>37987</v>
      </c>
      <c r="I48" s="85">
        <v>32803.518843017169</v>
      </c>
      <c r="J48" s="30">
        <v>3.6870817391418828E-2</v>
      </c>
      <c r="K48" s="56">
        <v>14945</v>
      </c>
      <c r="L48" s="60">
        <f>((K48-$K$56)/($K$55-$K$56))*Factores!$C$4</f>
        <v>12.770709721588316</v>
      </c>
      <c r="M48" s="16">
        <v>3</v>
      </c>
      <c r="N48" s="54">
        <f>+IF(OR(M48=3,M48=2,M48=1),Factores!$C$5,0)</f>
        <v>10</v>
      </c>
      <c r="O48" s="16">
        <v>0</v>
      </c>
      <c r="P48" s="46">
        <f>+IF(O48=1,Factores!$C$6,0)</f>
        <v>0</v>
      </c>
      <c r="Q48" s="16">
        <v>1</v>
      </c>
      <c r="R48" s="46">
        <f>+IF(Q48=1,Factores!$C$7,0)</f>
        <v>10</v>
      </c>
      <c r="S48" s="16">
        <v>0</v>
      </c>
      <c r="T48" s="46">
        <f>+IF(S48=1,Factores!$C$8,0)</f>
        <v>0</v>
      </c>
      <c r="U48" s="16">
        <v>0</v>
      </c>
      <c r="V48" s="46">
        <f>+IF(U48=1,Factores!$C$9,0)</f>
        <v>0</v>
      </c>
      <c r="W48" s="16">
        <v>0</v>
      </c>
      <c r="X48" s="16">
        <v>1</v>
      </c>
      <c r="Y48" s="46">
        <f>+IF((X48+W48)=1,Factores!$C$9,0)</f>
        <v>5</v>
      </c>
      <c r="Z48" s="25">
        <v>9</v>
      </c>
      <c r="AA48" s="48">
        <f t="shared" si="2"/>
        <v>0.5</v>
      </c>
      <c r="AB48" s="16">
        <v>0</v>
      </c>
      <c r="AC48" s="54">
        <f>+IF(AB48=1,Factores!$C$11,IF(AA48=0.5,(Factores!$C$11/2),0))</f>
        <v>2.5</v>
      </c>
      <c r="AD48" s="49">
        <v>0</v>
      </c>
      <c r="AE48" s="66">
        <f>+IF(AD48&lt;0,0,Factores!$C$12)</f>
        <v>5</v>
      </c>
      <c r="AF48" s="72">
        <f t="shared" si="3"/>
        <v>45.270709721588318</v>
      </c>
      <c r="AG48" s="4" t="s">
        <v>176</v>
      </c>
    </row>
    <row r="49" spans="1:33" s="3" customFormat="1" ht="57.75" customHeight="1" thickBot="1" x14ac:dyDescent="0.3">
      <c r="A49" s="84">
        <v>48</v>
      </c>
      <c r="B49" s="80">
        <v>4.6822451850000002</v>
      </c>
      <c r="C49" s="80">
        <v>-74.108688939999993</v>
      </c>
      <c r="D49" s="16" t="s">
        <v>3</v>
      </c>
      <c r="E49" s="16" t="s">
        <v>4</v>
      </c>
      <c r="F49" s="81" t="s">
        <v>5</v>
      </c>
      <c r="G49" s="82" t="s">
        <v>6</v>
      </c>
      <c r="H49" s="83">
        <v>37987</v>
      </c>
      <c r="I49" s="85">
        <v>47054.589586336413</v>
      </c>
      <c r="J49" s="30">
        <v>2.0748520491006301E-2</v>
      </c>
      <c r="K49" s="56">
        <v>4735</v>
      </c>
      <c r="L49" s="60">
        <f>((K49-$K$56)/($K$55-$K$56))*Factores!$C$4</f>
        <v>4.0332610680054763</v>
      </c>
      <c r="M49" s="16">
        <v>3</v>
      </c>
      <c r="N49" s="54">
        <f>+IF(OR(M49=3,M49=2,M49=1),Factores!$C$5,0)</f>
        <v>10</v>
      </c>
      <c r="O49" s="16">
        <v>1</v>
      </c>
      <c r="P49" s="46">
        <f>+IF(O49=1,Factores!$C$6,0)</f>
        <v>10</v>
      </c>
      <c r="Q49" s="16">
        <v>0</v>
      </c>
      <c r="R49" s="46">
        <f>+IF(Q49=1,Factores!$C$7,0)</f>
        <v>0</v>
      </c>
      <c r="S49" s="16">
        <v>0</v>
      </c>
      <c r="T49" s="46">
        <f>+IF(S49=1,Factores!$C$8,0)</f>
        <v>0</v>
      </c>
      <c r="U49" s="16">
        <v>1</v>
      </c>
      <c r="V49" s="46">
        <f>+IF(U49=1,Factores!$C$9,0)</f>
        <v>5</v>
      </c>
      <c r="W49" s="16">
        <v>0</v>
      </c>
      <c r="X49" s="16">
        <v>1</v>
      </c>
      <c r="Y49" s="46">
        <f>+IF((X49+W49)=1,Factores!$C$9,0)</f>
        <v>5</v>
      </c>
      <c r="Z49" s="25">
        <v>7</v>
      </c>
      <c r="AA49" s="48">
        <f t="shared" si="2"/>
        <v>0.5</v>
      </c>
      <c r="AB49" s="16">
        <v>1</v>
      </c>
      <c r="AC49" s="54">
        <f>+IF(AB49=1,Factores!$C$11,IF(AA49=0.5,(Factores!$C$11/2),0))</f>
        <v>5</v>
      </c>
      <c r="AD49" s="49">
        <v>0</v>
      </c>
      <c r="AE49" s="66">
        <f>+IF(AD49&lt;0,0,Factores!$C$12)</f>
        <v>5</v>
      </c>
      <c r="AF49" s="72">
        <f t="shared" si="3"/>
        <v>44.033261068005473</v>
      </c>
      <c r="AG49" s="4" t="s">
        <v>177</v>
      </c>
    </row>
    <row r="50" spans="1:33" s="3" customFormat="1" ht="57.75" customHeight="1" thickBot="1" x14ac:dyDescent="0.3">
      <c r="A50" s="84">
        <v>49</v>
      </c>
      <c r="B50" s="80">
        <v>4.713546869</v>
      </c>
      <c r="C50" s="80">
        <v>-74.111305889999997</v>
      </c>
      <c r="D50" s="16" t="s">
        <v>73</v>
      </c>
      <c r="E50" s="16" t="s">
        <v>22</v>
      </c>
      <c r="F50" s="81" t="s">
        <v>74</v>
      </c>
      <c r="G50" s="82" t="s">
        <v>6</v>
      </c>
      <c r="H50" s="83">
        <v>37987</v>
      </c>
      <c r="I50" s="85">
        <v>67578.275545915152</v>
      </c>
      <c r="J50" s="30">
        <v>3.4748726886242115E-2</v>
      </c>
      <c r="K50" s="56">
        <v>11368</v>
      </c>
      <c r="L50" s="60">
        <f>((K50-$K$56)/($K$55-$K$56))*Factores!$C$4</f>
        <v>9.7096074851665897</v>
      </c>
      <c r="M50" s="16">
        <v>3</v>
      </c>
      <c r="N50" s="54">
        <f>+IF(OR(M50=3,M50=2,M50=1),Factores!$C$5,0)</f>
        <v>10</v>
      </c>
      <c r="O50" s="16">
        <v>1</v>
      </c>
      <c r="P50" s="46">
        <f>+IF(O50=1,Factores!$C$6,0)</f>
        <v>10</v>
      </c>
      <c r="Q50" s="16">
        <v>1</v>
      </c>
      <c r="R50" s="46">
        <f>+IF(Q50=1,Factores!$C$7,0)</f>
        <v>10</v>
      </c>
      <c r="S50" s="16">
        <v>0</v>
      </c>
      <c r="T50" s="46">
        <f>+IF(S50=1,Factores!$C$8,0)</f>
        <v>0</v>
      </c>
      <c r="U50" s="16">
        <v>1</v>
      </c>
      <c r="V50" s="46">
        <f>+IF(U50=1,Factores!$C$9,0)</f>
        <v>5</v>
      </c>
      <c r="W50" s="16">
        <v>0</v>
      </c>
      <c r="X50" s="16">
        <v>1</v>
      </c>
      <c r="Y50" s="46">
        <f>+IF((X50+W50)=1,Factores!$C$9,0)</f>
        <v>5</v>
      </c>
      <c r="Z50" s="25">
        <v>7</v>
      </c>
      <c r="AA50" s="48">
        <f t="shared" si="2"/>
        <v>0.5</v>
      </c>
      <c r="AB50" s="16">
        <v>1</v>
      </c>
      <c r="AC50" s="54">
        <f>+IF(AB50=1,Factores!$C$11,IF(AA50=0.5,(Factores!$C$11/2),0))</f>
        <v>5</v>
      </c>
      <c r="AD50" s="49">
        <v>0</v>
      </c>
      <c r="AE50" s="66">
        <f>+IF(AD50&lt;0,0,Factores!$C$12)</f>
        <v>5</v>
      </c>
      <c r="AF50" s="72">
        <f t="shared" si="3"/>
        <v>59.709607485166586</v>
      </c>
      <c r="AG50" s="4" t="s">
        <v>178</v>
      </c>
    </row>
    <row r="51" spans="1:33" s="3" customFormat="1" ht="57.75" customHeight="1" thickBot="1" x14ac:dyDescent="0.3">
      <c r="A51" s="84">
        <v>50</v>
      </c>
      <c r="B51" s="80">
        <v>4.6692115120000004</v>
      </c>
      <c r="C51" s="80">
        <v>-74.101157349999994</v>
      </c>
      <c r="D51" s="16" t="s">
        <v>69</v>
      </c>
      <c r="E51" s="16" t="s">
        <v>70</v>
      </c>
      <c r="F51" s="81" t="s">
        <v>71</v>
      </c>
      <c r="G51" s="82" t="s">
        <v>72</v>
      </c>
      <c r="H51" s="83">
        <v>37987</v>
      </c>
      <c r="I51" s="85">
        <v>193525.95155714711</v>
      </c>
      <c r="J51" s="30">
        <v>1.8024664588901342E-3</v>
      </c>
      <c r="K51" s="56">
        <v>2201</v>
      </c>
      <c r="L51" s="60">
        <f>((K51-$K$56)/($K$55-$K$56))*Factores!$C$4</f>
        <v>1.8647307165677771</v>
      </c>
      <c r="M51" s="16">
        <v>4</v>
      </c>
      <c r="N51" s="54">
        <f>+IF(OR(M51=3,M51=2,M51=1),Factores!$C$5,0)</f>
        <v>0</v>
      </c>
      <c r="O51" s="16">
        <v>1</v>
      </c>
      <c r="P51" s="46">
        <f>+IF(O51=1,Factores!$C$6,0)</f>
        <v>10</v>
      </c>
      <c r="Q51" s="16">
        <v>1</v>
      </c>
      <c r="R51" s="46">
        <f>+IF(Q51=1,Factores!$C$7,0)</f>
        <v>10</v>
      </c>
      <c r="S51" s="16">
        <v>0</v>
      </c>
      <c r="T51" s="46">
        <f>+IF(S51=1,Factores!$C$8,0)</f>
        <v>0</v>
      </c>
      <c r="U51" s="16">
        <v>1</v>
      </c>
      <c r="V51" s="46">
        <f>+IF(U51=1,Factores!$C$9,0)</f>
        <v>5</v>
      </c>
      <c r="W51" s="16">
        <v>0</v>
      </c>
      <c r="X51" s="16">
        <v>1</v>
      </c>
      <c r="Y51" s="46">
        <f>+IF((X51+W51)=1,Factores!$C$9,0)</f>
        <v>5</v>
      </c>
      <c r="Z51" s="25">
        <v>6</v>
      </c>
      <c r="AA51" s="48">
        <f t="shared" si="2"/>
        <v>0.5</v>
      </c>
      <c r="AB51" s="16">
        <v>1</v>
      </c>
      <c r="AC51" s="54">
        <f>+IF(AB51=1,Factores!$C$11,IF(AA51=0.5,(Factores!$C$11/2),0))</f>
        <v>5</v>
      </c>
      <c r="AD51" s="49">
        <v>0</v>
      </c>
      <c r="AE51" s="66">
        <f>+IF(AD51&lt;0,0,Factores!$C$12)</f>
        <v>5</v>
      </c>
      <c r="AF51" s="72">
        <f t="shared" si="3"/>
        <v>41.864730716567777</v>
      </c>
      <c r="AG51" s="4" t="s">
        <v>179</v>
      </c>
    </row>
    <row r="52" spans="1:33" s="3" customFormat="1" ht="57.75" customHeight="1" thickBot="1" x14ac:dyDescent="0.3">
      <c r="A52" s="84">
        <v>51</v>
      </c>
      <c r="B52" s="80">
        <v>4.7150758130000003</v>
      </c>
      <c r="C52" s="80">
        <v>-74.141961210000005</v>
      </c>
      <c r="D52" s="16" t="s">
        <v>188</v>
      </c>
      <c r="E52" s="16" t="s">
        <v>86</v>
      </c>
      <c r="F52" s="81" t="s">
        <v>189</v>
      </c>
      <c r="G52" s="82" t="s">
        <v>10</v>
      </c>
      <c r="H52" s="83">
        <v>37987</v>
      </c>
      <c r="I52" s="85">
        <v>3841.6330100570699</v>
      </c>
      <c r="J52" s="30">
        <v>9.2980544734602762E-3</v>
      </c>
      <c r="K52" s="56">
        <v>10440</v>
      </c>
      <c r="L52" s="60">
        <f>((K52-$K$56)/($K$55-$K$56))*Factores!$C$4</f>
        <v>8.9154495664080322</v>
      </c>
      <c r="M52" s="43">
        <v>2</v>
      </c>
      <c r="N52" s="54">
        <f>+IF(OR(M52=3,M52=2,M52=1),Factores!$C$5,0)</f>
        <v>10</v>
      </c>
      <c r="O52" s="16">
        <v>1</v>
      </c>
      <c r="P52" s="46">
        <f>+IF(O52=1,Factores!$C$6,0)</f>
        <v>10</v>
      </c>
      <c r="Q52" s="16">
        <v>1</v>
      </c>
      <c r="R52" s="46">
        <f>+IF(Q52=1,Factores!$C$7,0)</f>
        <v>10</v>
      </c>
      <c r="S52" s="16">
        <v>1</v>
      </c>
      <c r="T52" s="46">
        <f>+IF(S52=1,Factores!$C$8,0)</f>
        <v>20</v>
      </c>
      <c r="U52" s="16">
        <v>1</v>
      </c>
      <c r="V52" s="46">
        <f>+IF(U52=1,Factores!$C$9,0)</f>
        <v>5</v>
      </c>
      <c r="W52" s="16">
        <v>0</v>
      </c>
      <c r="X52" s="16">
        <v>1</v>
      </c>
      <c r="Y52" s="46">
        <f>+IF((X52+W52)=1,Factores!$C$9,0)</f>
        <v>5</v>
      </c>
      <c r="Z52" s="25">
        <v>14</v>
      </c>
      <c r="AA52" s="48">
        <f t="shared" si="2"/>
        <v>0.5</v>
      </c>
      <c r="AB52" s="16">
        <v>1</v>
      </c>
      <c r="AC52" s="54">
        <f>+IF(AB52=1,Factores!$C$11,IF(AA52=0.5,(Factores!$C$11/2),0))</f>
        <v>5</v>
      </c>
      <c r="AD52" s="49">
        <v>0</v>
      </c>
      <c r="AE52" s="66">
        <f>+IF(AD52&lt;0,0,Factores!$C$12)</f>
        <v>5</v>
      </c>
      <c r="AF52" s="72">
        <f t="shared" si="3"/>
        <v>78.915449566408029</v>
      </c>
      <c r="AG52" s="4"/>
    </row>
    <row r="53" spans="1:33" s="3" customFormat="1" ht="57.75" customHeight="1" thickBot="1" x14ac:dyDescent="0.3">
      <c r="A53" s="86">
        <v>52</v>
      </c>
      <c r="B53" s="87">
        <v>4.6709829999999997</v>
      </c>
      <c r="C53" s="87">
        <v>-74.102054999999993</v>
      </c>
      <c r="D53" s="20"/>
      <c r="E53" s="20" t="s">
        <v>4</v>
      </c>
      <c r="F53" s="88" t="s">
        <v>187</v>
      </c>
      <c r="G53" s="89"/>
      <c r="H53" s="109"/>
      <c r="I53" s="99"/>
      <c r="J53" s="34">
        <v>2.0646327954725662E-2</v>
      </c>
      <c r="K53" s="59">
        <v>4013</v>
      </c>
      <c r="L53" s="60">
        <f>((K53-$K$56)/($K$55-$K$56))*Factores!$C$4</f>
        <v>3.4153925148334094</v>
      </c>
      <c r="M53" s="44">
        <v>4</v>
      </c>
      <c r="N53" s="67">
        <f>+IF(OR(M53=3,M53=2,M53=1),Factores!$C$5,0)</f>
        <v>0</v>
      </c>
      <c r="O53" s="20">
        <v>1</v>
      </c>
      <c r="P53" s="68">
        <f>+IF(O53=1,Factores!$C$6,0)</f>
        <v>10</v>
      </c>
      <c r="Q53" s="20">
        <v>1</v>
      </c>
      <c r="R53" s="68">
        <f>+IF(Q53=1,Factores!$C$7,0)</f>
        <v>10</v>
      </c>
      <c r="S53" s="20">
        <v>1</v>
      </c>
      <c r="T53" s="68">
        <f>+IF(S53=1,Factores!$C$8,0)</f>
        <v>20</v>
      </c>
      <c r="U53" s="20">
        <v>0</v>
      </c>
      <c r="V53" s="68">
        <f>+IF(U53=1,Factores!$C$9,0)</f>
        <v>0</v>
      </c>
      <c r="W53" s="20">
        <v>0</v>
      </c>
      <c r="X53" s="20">
        <v>1</v>
      </c>
      <c r="Y53" s="68">
        <f>+IF((X53+W53)=1,Factores!$C$9,0)</f>
        <v>5</v>
      </c>
      <c r="Z53" s="28">
        <v>7</v>
      </c>
      <c r="AA53" s="69">
        <f t="shared" si="2"/>
        <v>0.5</v>
      </c>
      <c r="AB53" s="20">
        <v>1</v>
      </c>
      <c r="AC53" s="67">
        <f>+IF(AB53=1,Factores!$C$11,IF(AA53=0.5,(Factores!$C$11/2),0))</f>
        <v>5</v>
      </c>
      <c r="AD53" s="52">
        <v>1</v>
      </c>
      <c r="AE53" s="70">
        <f>+IF(AD53&lt;0,0,Factores!$C$12)</f>
        <v>5</v>
      </c>
      <c r="AF53" s="73">
        <f t="shared" si="3"/>
        <v>58.415392514833414</v>
      </c>
      <c r="AG53" s="4"/>
    </row>
    <row r="55" spans="1:33" x14ac:dyDescent="0.25">
      <c r="B55" s="24">
        <v>4.67</v>
      </c>
      <c r="C55" s="24">
        <v>74.099999999999994</v>
      </c>
      <c r="J55" s="34" t="s">
        <v>228</v>
      </c>
      <c r="K55" s="22">
        <f>MAX(K2:K53)</f>
        <v>17550</v>
      </c>
    </row>
    <row r="56" spans="1:33" x14ac:dyDescent="0.25">
      <c r="B56" s="24">
        <v>599756</v>
      </c>
      <c r="C56" s="24">
        <v>516039</v>
      </c>
      <c r="J56" s="34" t="s">
        <v>229</v>
      </c>
      <c r="K56" s="22">
        <f>MIN(K2:K53)</f>
        <v>22</v>
      </c>
      <c r="AF56" s="13">
        <v>25</v>
      </c>
      <c r="AG56" s="4" t="s">
        <v>180</v>
      </c>
    </row>
    <row r="57" spans="1:33" x14ac:dyDescent="0.25">
      <c r="AF57" s="13">
        <v>6</v>
      </c>
      <c r="AG57" s="4" t="s">
        <v>181</v>
      </c>
    </row>
    <row r="58" spans="1:33" x14ac:dyDescent="0.25">
      <c r="AF58" s="13">
        <v>19</v>
      </c>
      <c r="AG58" s="4" t="s">
        <v>182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965E-ECE7-494E-98E7-A4D8FA4047EE}">
  <dimension ref="A1:F5"/>
  <sheetViews>
    <sheetView workbookViewId="0">
      <selection sqref="A1:F5"/>
    </sheetView>
  </sheetViews>
  <sheetFormatPr baseColWidth="10" defaultRowHeight="13.2" x14ac:dyDescent="0.25"/>
  <sheetData>
    <row r="1" spans="1:6" x14ac:dyDescent="0.25">
      <c r="A1" s="155"/>
      <c r="B1" s="155" t="s">
        <v>212</v>
      </c>
      <c r="C1" s="155" t="s">
        <v>232</v>
      </c>
      <c r="D1" s="155" t="s">
        <v>233</v>
      </c>
      <c r="E1" s="155" t="s">
        <v>240</v>
      </c>
      <c r="F1" s="155" t="s">
        <v>234</v>
      </c>
    </row>
    <row r="2" spans="1:6" x14ac:dyDescent="0.25">
      <c r="A2" s="155" t="s">
        <v>230</v>
      </c>
      <c r="B2" s="155" t="s">
        <v>236</v>
      </c>
      <c r="C2" s="154">
        <v>14779</v>
      </c>
      <c r="D2" s="155" t="s">
        <v>239</v>
      </c>
      <c r="E2" s="155" t="s">
        <v>241</v>
      </c>
      <c r="F2" s="155" t="s">
        <v>243</v>
      </c>
    </row>
    <row r="3" spans="1:6" x14ac:dyDescent="0.25">
      <c r="A3" s="155" t="s">
        <v>231</v>
      </c>
      <c r="B3" s="155" t="s">
        <v>237</v>
      </c>
      <c r="C3" s="154">
        <v>8708</v>
      </c>
      <c r="D3" s="155" t="s">
        <v>119</v>
      </c>
      <c r="E3" s="155" t="s">
        <v>242</v>
      </c>
      <c r="F3" s="155" t="s">
        <v>244</v>
      </c>
    </row>
    <row r="4" spans="1:6" x14ac:dyDescent="0.25">
      <c r="A4" s="155" t="s">
        <v>215</v>
      </c>
      <c r="B4" s="155"/>
      <c r="C4" s="154"/>
      <c r="D4" s="155"/>
      <c r="E4" s="155"/>
      <c r="F4" s="155"/>
    </row>
    <row r="5" spans="1:6" x14ac:dyDescent="0.25">
      <c r="A5" s="155" t="s">
        <v>235</v>
      </c>
      <c r="B5" s="155" t="s">
        <v>238</v>
      </c>
      <c r="C5" s="154">
        <v>17550</v>
      </c>
      <c r="D5" s="155" t="s">
        <v>239</v>
      </c>
      <c r="E5" s="155" t="s">
        <v>242</v>
      </c>
      <c r="F5" s="155" t="s">
        <v>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7D33-01D8-467F-A32A-8747217A5285}">
  <dimension ref="B2:G18"/>
  <sheetViews>
    <sheetView workbookViewId="0">
      <selection activeCell="D23" sqref="D23"/>
    </sheetView>
  </sheetViews>
  <sheetFormatPr baseColWidth="10" defaultRowHeight="13.2" x14ac:dyDescent="0.25"/>
  <cols>
    <col min="2" max="2" width="24.44140625" customWidth="1"/>
    <col min="6" max="6" width="21.5546875" customWidth="1"/>
  </cols>
  <sheetData>
    <row r="2" spans="2:7" ht="13.8" thickBot="1" x14ac:dyDescent="0.3"/>
    <row r="3" spans="2:7" ht="13.8" thickBot="1" x14ac:dyDescent="0.3">
      <c r="B3" s="37" t="s">
        <v>197</v>
      </c>
      <c r="C3" s="38" t="s">
        <v>198</v>
      </c>
      <c r="F3" s="116" t="s">
        <v>197</v>
      </c>
      <c r="G3" s="117" t="s">
        <v>198</v>
      </c>
    </row>
    <row r="4" spans="2:7" ht="13.8" thickBot="1" x14ac:dyDescent="0.3">
      <c r="B4" s="39" t="s">
        <v>183</v>
      </c>
      <c r="C4" s="122">
        <v>15</v>
      </c>
      <c r="F4" s="118" t="s">
        <v>219</v>
      </c>
      <c r="G4" s="119">
        <v>50</v>
      </c>
    </row>
    <row r="5" spans="2:7" ht="13.8" thickBot="1" x14ac:dyDescent="0.3">
      <c r="B5" s="39" t="s">
        <v>199</v>
      </c>
      <c r="C5" s="122">
        <v>10</v>
      </c>
      <c r="F5" s="118" t="s">
        <v>220</v>
      </c>
      <c r="G5" s="119">
        <v>40</v>
      </c>
    </row>
    <row r="6" spans="2:7" ht="13.8" thickBot="1" x14ac:dyDescent="0.3">
      <c r="B6" s="39" t="s">
        <v>190</v>
      </c>
      <c r="C6" s="122">
        <v>10</v>
      </c>
      <c r="F6" s="118" t="s">
        <v>221</v>
      </c>
      <c r="G6" s="119">
        <v>40</v>
      </c>
    </row>
    <row r="7" spans="2:7" ht="13.8" thickBot="1" x14ac:dyDescent="0.3">
      <c r="B7" s="39" t="s">
        <v>191</v>
      </c>
      <c r="C7" s="122">
        <v>10</v>
      </c>
      <c r="F7" s="118" t="s">
        <v>222</v>
      </c>
      <c r="G7" s="119">
        <v>40</v>
      </c>
    </row>
    <row r="8" spans="2:7" ht="13.8" thickBot="1" x14ac:dyDescent="0.3">
      <c r="B8" s="39" t="s">
        <v>192</v>
      </c>
      <c r="C8" s="122">
        <v>20</v>
      </c>
      <c r="F8" s="118" t="s">
        <v>223</v>
      </c>
      <c r="G8" s="119">
        <v>50</v>
      </c>
    </row>
    <row r="9" spans="2:7" ht="13.8" thickBot="1" x14ac:dyDescent="0.3">
      <c r="B9" s="39" t="s">
        <v>193</v>
      </c>
      <c r="C9" s="122">
        <v>5</v>
      </c>
      <c r="F9" s="118" t="s">
        <v>224</v>
      </c>
      <c r="G9" s="119">
        <v>10</v>
      </c>
    </row>
    <row r="10" spans="2:7" ht="13.8" thickBot="1" x14ac:dyDescent="0.3">
      <c r="B10" s="39" t="s">
        <v>194</v>
      </c>
      <c r="C10" s="122">
        <v>20</v>
      </c>
      <c r="F10" s="118" t="s">
        <v>225</v>
      </c>
      <c r="G10" s="119">
        <v>50</v>
      </c>
    </row>
    <row r="11" spans="2:7" ht="13.8" thickBot="1" x14ac:dyDescent="0.3">
      <c r="B11" s="39" t="s">
        <v>195</v>
      </c>
      <c r="C11" s="122">
        <v>5</v>
      </c>
      <c r="F11" s="118" t="s">
        <v>226</v>
      </c>
      <c r="G11" s="119">
        <v>10</v>
      </c>
    </row>
    <row r="12" spans="2:7" ht="13.8" thickBot="1" x14ac:dyDescent="0.3">
      <c r="B12" s="39" t="s">
        <v>196</v>
      </c>
      <c r="C12" s="122">
        <v>5</v>
      </c>
      <c r="F12" s="118" t="s">
        <v>217</v>
      </c>
      <c r="G12" s="119">
        <v>10</v>
      </c>
    </row>
    <row r="13" spans="2:7" ht="13.8" thickBot="1" x14ac:dyDescent="0.3">
      <c r="B13" s="41" t="s">
        <v>136</v>
      </c>
      <c r="C13" s="42">
        <f>SUM(C4:C12)</f>
        <v>100</v>
      </c>
      <c r="F13" s="120" t="s">
        <v>227</v>
      </c>
      <c r="G13" s="121">
        <v>300</v>
      </c>
    </row>
    <row r="17" spans="3:4" x14ac:dyDescent="0.25">
      <c r="C17">
        <v>50</v>
      </c>
      <c r="D17">
        <v>300</v>
      </c>
    </row>
    <row r="18" spans="3:4" x14ac:dyDescent="0.25">
      <c r="D18">
        <v>100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AD7F-220E-4D46-A60E-EDCD72296B76}">
  <dimension ref="B1:O54"/>
  <sheetViews>
    <sheetView workbookViewId="0">
      <selection activeCell="D3" sqref="D3"/>
    </sheetView>
  </sheetViews>
  <sheetFormatPr baseColWidth="10" defaultRowHeight="13.2" x14ac:dyDescent="0.25"/>
  <cols>
    <col min="1" max="1" width="3.88671875" customWidth="1"/>
    <col min="2" max="2" width="3.44140625" bestFit="1" customWidth="1"/>
    <col min="3" max="3" width="49.21875" bestFit="1" customWidth="1"/>
    <col min="4" max="4" width="16.88671875" bestFit="1" customWidth="1"/>
  </cols>
  <sheetData>
    <row r="1" spans="2:15" ht="13.8" thickBot="1" x14ac:dyDescent="0.3"/>
    <row r="2" spans="2:15" ht="40.200000000000003" thickBot="1" x14ac:dyDescent="0.3">
      <c r="B2" s="138" t="s">
        <v>119</v>
      </c>
      <c r="C2" s="150" t="s">
        <v>1</v>
      </c>
      <c r="D2" s="114" t="s">
        <v>142</v>
      </c>
      <c r="E2" s="151" t="s">
        <v>2</v>
      </c>
      <c r="F2" s="152" t="s">
        <v>200</v>
      </c>
      <c r="G2" s="152" t="s">
        <v>201</v>
      </c>
      <c r="H2" s="152" t="s">
        <v>202</v>
      </c>
      <c r="I2" s="152" t="s">
        <v>203</v>
      </c>
      <c r="J2" s="152" t="s">
        <v>204</v>
      </c>
      <c r="K2" s="152" t="s">
        <v>205</v>
      </c>
      <c r="L2" s="152" t="s">
        <v>210</v>
      </c>
      <c r="M2" s="152" t="s">
        <v>208</v>
      </c>
      <c r="N2" s="153" t="s">
        <v>209</v>
      </c>
      <c r="O2" s="138" t="s">
        <v>136</v>
      </c>
    </row>
    <row r="3" spans="2:15" x14ac:dyDescent="0.25">
      <c r="B3" s="142">
        <v>36</v>
      </c>
      <c r="C3" s="139" t="s">
        <v>18</v>
      </c>
      <c r="D3" s="123" t="s">
        <v>10</v>
      </c>
      <c r="E3" s="124">
        <v>11522.07522943864</v>
      </c>
      <c r="F3" s="145">
        <v>6.1829643998174353</v>
      </c>
      <c r="G3" s="146">
        <v>10</v>
      </c>
      <c r="H3" s="147">
        <v>0</v>
      </c>
      <c r="I3" s="147">
        <v>0</v>
      </c>
      <c r="J3" s="147">
        <v>0</v>
      </c>
      <c r="K3" s="147">
        <v>0</v>
      </c>
      <c r="L3" s="147">
        <v>5</v>
      </c>
      <c r="M3" s="146">
        <v>2.5</v>
      </c>
      <c r="N3" s="148">
        <v>5</v>
      </c>
      <c r="O3" s="149">
        <f t="shared" ref="O3:O34" si="0">SUM(F3:N3)</f>
        <v>28.682964399817436</v>
      </c>
    </row>
    <row r="4" spans="2:15" x14ac:dyDescent="0.25">
      <c r="B4" s="143">
        <v>25</v>
      </c>
      <c r="C4" s="140" t="s">
        <v>68</v>
      </c>
      <c r="D4" s="100" t="s">
        <v>10</v>
      </c>
      <c r="E4" s="125">
        <v>9792.1359049273487</v>
      </c>
      <c r="F4" s="126">
        <v>7.0395937927886809</v>
      </c>
      <c r="G4" s="127">
        <v>0</v>
      </c>
      <c r="H4" s="128">
        <v>10</v>
      </c>
      <c r="I4" s="128">
        <v>0</v>
      </c>
      <c r="J4" s="128">
        <v>0</v>
      </c>
      <c r="K4" s="128">
        <v>0</v>
      </c>
      <c r="L4" s="128">
        <v>5</v>
      </c>
      <c r="M4" s="127">
        <v>2.5</v>
      </c>
      <c r="N4" s="134">
        <v>5</v>
      </c>
      <c r="O4" s="136">
        <f t="shared" si="0"/>
        <v>29.539593792788679</v>
      </c>
    </row>
    <row r="5" spans="2:15" x14ac:dyDescent="0.25">
      <c r="B5" s="143">
        <v>17</v>
      </c>
      <c r="C5" s="140" t="s">
        <v>61</v>
      </c>
      <c r="D5" s="100" t="s">
        <v>10</v>
      </c>
      <c r="E5" s="125">
        <v>7043.7771445962289</v>
      </c>
      <c r="F5" s="126">
        <v>8.4618895481515288</v>
      </c>
      <c r="G5" s="127">
        <v>10</v>
      </c>
      <c r="H5" s="128">
        <v>0</v>
      </c>
      <c r="I5" s="128">
        <v>0</v>
      </c>
      <c r="J5" s="128">
        <v>0</v>
      </c>
      <c r="K5" s="128">
        <v>0</v>
      </c>
      <c r="L5" s="128">
        <v>5</v>
      </c>
      <c r="M5" s="127">
        <v>2.5</v>
      </c>
      <c r="N5" s="134">
        <v>5</v>
      </c>
      <c r="O5" s="136">
        <f t="shared" si="0"/>
        <v>30.961889548151529</v>
      </c>
    </row>
    <row r="6" spans="2:15" ht="26.4" x14ac:dyDescent="0.25">
      <c r="B6" s="143">
        <v>9</v>
      </c>
      <c r="C6" s="140" t="s">
        <v>34</v>
      </c>
      <c r="D6" s="100" t="s">
        <v>10</v>
      </c>
      <c r="E6" s="125">
        <v>5829.4294500937131</v>
      </c>
      <c r="F6" s="126">
        <v>8.6116499280658907</v>
      </c>
      <c r="G6" s="127">
        <v>10</v>
      </c>
      <c r="H6" s="128">
        <v>0</v>
      </c>
      <c r="I6" s="128">
        <v>0</v>
      </c>
      <c r="J6" s="128">
        <v>0</v>
      </c>
      <c r="K6" s="128">
        <v>0</v>
      </c>
      <c r="L6" s="128">
        <v>5</v>
      </c>
      <c r="M6" s="127">
        <v>2.5</v>
      </c>
      <c r="N6" s="134">
        <v>5</v>
      </c>
      <c r="O6" s="136">
        <f t="shared" si="0"/>
        <v>31.111649928065891</v>
      </c>
    </row>
    <row r="7" spans="2:15" x14ac:dyDescent="0.25">
      <c r="B7" s="143">
        <v>46</v>
      </c>
      <c r="C7" s="140" t="s">
        <v>63</v>
      </c>
      <c r="D7" s="100" t="s">
        <v>10</v>
      </c>
      <c r="E7" s="125">
        <v>30163.765722425611</v>
      </c>
      <c r="F7" s="126">
        <v>3.3272478320401642</v>
      </c>
      <c r="G7" s="127">
        <v>10</v>
      </c>
      <c r="H7" s="128">
        <v>10</v>
      </c>
      <c r="I7" s="128">
        <v>0</v>
      </c>
      <c r="J7" s="128">
        <v>0</v>
      </c>
      <c r="K7" s="128">
        <v>0</v>
      </c>
      <c r="L7" s="128">
        <v>0</v>
      </c>
      <c r="M7" s="127">
        <v>5</v>
      </c>
      <c r="N7" s="134">
        <v>5</v>
      </c>
      <c r="O7" s="136">
        <f t="shared" si="0"/>
        <v>33.327247832040165</v>
      </c>
    </row>
    <row r="8" spans="2:15" x14ac:dyDescent="0.25">
      <c r="B8" s="143">
        <v>23</v>
      </c>
      <c r="C8" s="140" t="s">
        <v>20</v>
      </c>
      <c r="D8" s="100" t="s">
        <v>10</v>
      </c>
      <c r="E8" s="125">
        <v>8910.6172418426795</v>
      </c>
      <c r="F8" s="126">
        <v>7.0549977179370158</v>
      </c>
      <c r="G8" s="127">
        <v>10</v>
      </c>
      <c r="H8" s="128">
        <v>0</v>
      </c>
      <c r="I8" s="128">
        <v>0</v>
      </c>
      <c r="J8" s="128">
        <v>0</v>
      </c>
      <c r="K8" s="128">
        <v>5</v>
      </c>
      <c r="L8" s="128">
        <v>5</v>
      </c>
      <c r="M8" s="127">
        <v>2.5</v>
      </c>
      <c r="N8" s="134">
        <v>5</v>
      </c>
      <c r="O8" s="136">
        <f t="shared" si="0"/>
        <v>34.554997717937013</v>
      </c>
    </row>
    <row r="9" spans="2:15" x14ac:dyDescent="0.25">
      <c r="B9" s="143">
        <v>20</v>
      </c>
      <c r="C9" s="140" t="s">
        <v>13</v>
      </c>
      <c r="D9" s="100" t="s">
        <v>10</v>
      </c>
      <c r="E9" s="125">
        <v>8196.771924696257</v>
      </c>
      <c r="F9" s="126">
        <v>12.454929256047466</v>
      </c>
      <c r="G9" s="127">
        <v>10</v>
      </c>
      <c r="H9" s="128">
        <v>0</v>
      </c>
      <c r="I9" s="128">
        <v>0</v>
      </c>
      <c r="J9" s="128">
        <v>0</v>
      </c>
      <c r="K9" s="128">
        <v>0</v>
      </c>
      <c r="L9" s="128">
        <v>5</v>
      </c>
      <c r="M9" s="127">
        <v>2.5</v>
      </c>
      <c r="N9" s="134">
        <v>5</v>
      </c>
      <c r="O9" s="136">
        <f t="shared" si="0"/>
        <v>34.954929256047464</v>
      </c>
    </row>
    <row r="10" spans="2:15" x14ac:dyDescent="0.25">
      <c r="B10" s="143">
        <v>15</v>
      </c>
      <c r="C10" s="140" t="s">
        <v>66</v>
      </c>
      <c r="D10" s="100" t="s">
        <v>10</v>
      </c>
      <c r="E10" s="125">
        <v>6665.9950672493896</v>
      </c>
      <c r="F10" s="126">
        <v>11.209778639890461</v>
      </c>
      <c r="G10" s="127">
        <v>10</v>
      </c>
      <c r="H10" s="128">
        <v>10</v>
      </c>
      <c r="I10" s="128">
        <v>0</v>
      </c>
      <c r="J10" s="128">
        <v>0</v>
      </c>
      <c r="K10" s="128">
        <v>0</v>
      </c>
      <c r="L10" s="128">
        <v>0</v>
      </c>
      <c r="M10" s="127">
        <v>5</v>
      </c>
      <c r="N10" s="134">
        <v>0</v>
      </c>
      <c r="O10" s="136">
        <f t="shared" si="0"/>
        <v>36.209778639890459</v>
      </c>
    </row>
    <row r="11" spans="2:15" x14ac:dyDescent="0.25">
      <c r="B11" s="143">
        <v>31</v>
      </c>
      <c r="C11" s="140" t="s">
        <v>106</v>
      </c>
      <c r="D11" s="100" t="s">
        <v>10</v>
      </c>
      <c r="E11" s="125">
        <v>10242.77061326387</v>
      </c>
      <c r="F11" s="126">
        <v>4.2668872660885437</v>
      </c>
      <c r="G11" s="127">
        <v>10</v>
      </c>
      <c r="H11" s="128">
        <v>10</v>
      </c>
      <c r="I11" s="128">
        <v>0</v>
      </c>
      <c r="J11" s="128">
        <v>0</v>
      </c>
      <c r="K11" s="128">
        <v>0</v>
      </c>
      <c r="L11" s="128">
        <v>5</v>
      </c>
      <c r="M11" s="127">
        <v>2.5</v>
      </c>
      <c r="N11" s="134">
        <v>5</v>
      </c>
      <c r="O11" s="136">
        <f t="shared" si="0"/>
        <v>36.766887266088546</v>
      </c>
    </row>
    <row r="12" spans="2:15" x14ac:dyDescent="0.25">
      <c r="B12" s="143">
        <v>1</v>
      </c>
      <c r="C12" s="140" t="s">
        <v>76</v>
      </c>
      <c r="D12" s="100" t="s">
        <v>10</v>
      </c>
      <c r="E12" s="125">
        <v>4779.715166086</v>
      </c>
      <c r="F12" s="126">
        <v>12.628651300775902</v>
      </c>
      <c r="G12" s="127">
        <v>10</v>
      </c>
      <c r="H12" s="128">
        <v>0</v>
      </c>
      <c r="I12" s="128">
        <v>0</v>
      </c>
      <c r="J12" s="128">
        <v>0</v>
      </c>
      <c r="K12" s="128">
        <v>0</v>
      </c>
      <c r="L12" s="128">
        <v>5</v>
      </c>
      <c r="M12" s="127">
        <v>5</v>
      </c>
      <c r="N12" s="134">
        <v>5</v>
      </c>
      <c r="O12" s="136">
        <f t="shared" si="0"/>
        <v>37.6286513007759</v>
      </c>
    </row>
    <row r="13" spans="2:15" x14ac:dyDescent="0.25">
      <c r="B13" s="143">
        <v>14</v>
      </c>
      <c r="C13" s="140" t="s">
        <v>42</v>
      </c>
      <c r="D13" s="100" t="s">
        <v>10</v>
      </c>
      <c r="E13" s="125">
        <v>6414.2865330706063</v>
      </c>
      <c r="F13" s="126">
        <v>3.8133272478320399</v>
      </c>
      <c r="G13" s="127">
        <v>10</v>
      </c>
      <c r="H13" s="128">
        <v>10</v>
      </c>
      <c r="I13" s="128">
        <v>10</v>
      </c>
      <c r="J13" s="128">
        <v>0</v>
      </c>
      <c r="K13" s="128">
        <v>0</v>
      </c>
      <c r="L13" s="128">
        <v>0</v>
      </c>
      <c r="M13" s="127">
        <v>5</v>
      </c>
      <c r="N13" s="134">
        <v>0</v>
      </c>
      <c r="O13" s="136">
        <f t="shared" si="0"/>
        <v>38.813327247832042</v>
      </c>
    </row>
    <row r="14" spans="2:15" ht="26.4" x14ac:dyDescent="0.25">
      <c r="B14" s="143">
        <v>50</v>
      </c>
      <c r="C14" s="140" t="s">
        <v>71</v>
      </c>
      <c r="D14" s="100" t="s">
        <v>72</v>
      </c>
      <c r="E14" s="125">
        <v>193525.95155714711</v>
      </c>
      <c r="F14" s="126">
        <v>1.8647307165677771</v>
      </c>
      <c r="G14" s="127">
        <v>0</v>
      </c>
      <c r="H14" s="128">
        <v>10</v>
      </c>
      <c r="I14" s="128">
        <v>10</v>
      </c>
      <c r="J14" s="128">
        <v>0</v>
      </c>
      <c r="K14" s="128">
        <v>5</v>
      </c>
      <c r="L14" s="128">
        <v>5</v>
      </c>
      <c r="M14" s="127">
        <v>5</v>
      </c>
      <c r="N14" s="134">
        <v>5</v>
      </c>
      <c r="O14" s="136">
        <f t="shared" si="0"/>
        <v>41.864730716567777</v>
      </c>
    </row>
    <row r="15" spans="2:15" x14ac:dyDescent="0.25">
      <c r="B15" s="143">
        <v>19</v>
      </c>
      <c r="C15" s="140" t="s">
        <v>29</v>
      </c>
      <c r="D15" s="100" t="s">
        <v>10</v>
      </c>
      <c r="E15" s="125">
        <v>8061.8991443488594</v>
      </c>
      <c r="F15" s="126">
        <v>8.3069945230488376</v>
      </c>
      <c r="G15" s="127">
        <v>10</v>
      </c>
      <c r="H15" s="128">
        <v>10</v>
      </c>
      <c r="I15" s="128">
        <v>0</v>
      </c>
      <c r="J15" s="128">
        <v>0</v>
      </c>
      <c r="K15" s="128">
        <v>5</v>
      </c>
      <c r="L15" s="128">
        <v>0</v>
      </c>
      <c r="M15" s="127">
        <v>5</v>
      </c>
      <c r="N15" s="134">
        <v>5</v>
      </c>
      <c r="O15" s="136">
        <f t="shared" si="0"/>
        <v>43.306994523048836</v>
      </c>
    </row>
    <row r="16" spans="2:15" x14ac:dyDescent="0.25">
      <c r="B16" s="143">
        <v>48</v>
      </c>
      <c r="C16" s="140" t="s">
        <v>5</v>
      </c>
      <c r="D16" s="100" t="s">
        <v>6</v>
      </c>
      <c r="E16" s="125">
        <v>47054.589586336413</v>
      </c>
      <c r="F16" s="126">
        <v>4.0332610680054763</v>
      </c>
      <c r="G16" s="127">
        <v>10</v>
      </c>
      <c r="H16" s="128">
        <v>10</v>
      </c>
      <c r="I16" s="128">
        <v>0</v>
      </c>
      <c r="J16" s="128">
        <v>0</v>
      </c>
      <c r="K16" s="128">
        <v>5</v>
      </c>
      <c r="L16" s="128">
        <v>5</v>
      </c>
      <c r="M16" s="127">
        <v>5</v>
      </c>
      <c r="N16" s="134">
        <v>5</v>
      </c>
      <c r="O16" s="136">
        <f t="shared" si="0"/>
        <v>44.033261068005473</v>
      </c>
    </row>
    <row r="17" spans="2:15" x14ac:dyDescent="0.25">
      <c r="B17" s="143">
        <v>47</v>
      </c>
      <c r="C17" s="140" t="s">
        <v>51</v>
      </c>
      <c r="D17" s="100" t="s">
        <v>6</v>
      </c>
      <c r="E17" s="125">
        <v>32803.518843017169</v>
      </c>
      <c r="F17" s="126">
        <v>12.770709721588316</v>
      </c>
      <c r="G17" s="127">
        <v>10</v>
      </c>
      <c r="H17" s="128">
        <v>0</v>
      </c>
      <c r="I17" s="128">
        <v>10</v>
      </c>
      <c r="J17" s="128">
        <v>0</v>
      </c>
      <c r="K17" s="128">
        <v>0</v>
      </c>
      <c r="L17" s="128">
        <v>5</v>
      </c>
      <c r="M17" s="127">
        <v>2.5</v>
      </c>
      <c r="N17" s="134">
        <v>5</v>
      </c>
      <c r="O17" s="136">
        <f t="shared" si="0"/>
        <v>45.270709721588318</v>
      </c>
    </row>
    <row r="18" spans="2:15" x14ac:dyDescent="0.25">
      <c r="B18" s="143">
        <v>44</v>
      </c>
      <c r="C18" s="140" t="s">
        <v>78</v>
      </c>
      <c r="D18" s="100" t="s">
        <v>6</v>
      </c>
      <c r="E18" s="125">
        <v>18458.102963115121</v>
      </c>
      <c r="F18" s="126">
        <v>5.6053172067549069</v>
      </c>
      <c r="G18" s="127">
        <v>10</v>
      </c>
      <c r="H18" s="128">
        <v>10</v>
      </c>
      <c r="I18" s="128">
        <v>10</v>
      </c>
      <c r="J18" s="128">
        <v>0</v>
      </c>
      <c r="K18" s="128">
        <v>5</v>
      </c>
      <c r="L18" s="128">
        <v>0</v>
      </c>
      <c r="M18" s="127">
        <v>5</v>
      </c>
      <c r="N18" s="134">
        <v>0</v>
      </c>
      <c r="O18" s="136">
        <f t="shared" si="0"/>
        <v>45.605317206754904</v>
      </c>
    </row>
    <row r="19" spans="2:15" x14ac:dyDescent="0.25">
      <c r="B19" s="143">
        <v>22</v>
      </c>
      <c r="C19" s="140" t="s">
        <v>40</v>
      </c>
      <c r="D19" s="100" t="s">
        <v>10</v>
      </c>
      <c r="E19" s="125">
        <v>8761.3367828606588</v>
      </c>
      <c r="F19" s="126">
        <v>8.9471131903240533</v>
      </c>
      <c r="G19" s="127">
        <v>10</v>
      </c>
      <c r="H19" s="128">
        <v>0</v>
      </c>
      <c r="I19" s="128">
        <v>10</v>
      </c>
      <c r="J19" s="128">
        <v>0</v>
      </c>
      <c r="K19" s="128">
        <v>5</v>
      </c>
      <c r="L19" s="128">
        <v>5</v>
      </c>
      <c r="M19" s="127">
        <v>2.5</v>
      </c>
      <c r="N19" s="134">
        <v>5</v>
      </c>
      <c r="O19" s="136">
        <f t="shared" si="0"/>
        <v>46.447113190324053</v>
      </c>
    </row>
    <row r="20" spans="2:15" x14ac:dyDescent="0.25">
      <c r="B20" s="143">
        <v>29</v>
      </c>
      <c r="C20" s="140" t="s">
        <v>38</v>
      </c>
      <c r="D20" s="100" t="s">
        <v>10</v>
      </c>
      <c r="E20" s="125">
        <v>9952.0589871228549</v>
      </c>
      <c r="F20" s="126">
        <v>5.1714399817434957</v>
      </c>
      <c r="G20" s="127">
        <v>10</v>
      </c>
      <c r="H20" s="128">
        <v>10</v>
      </c>
      <c r="I20" s="128">
        <v>10</v>
      </c>
      <c r="J20" s="128">
        <v>0</v>
      </c>
      <c r="K20" s="128">
        <v>5</v>
      </c>
      <c r="L20" s="128">
        <v>0</v>
      </c>
      <c r="M20" s="127">
        <v>2.5</v>
      </c>
      <c r="N20" s="134">
        <v>5</v>
      </c>
      <c r="O20" s="136">
        <f t="shared" si="0"/>
        <v>47.671439981743497</v>
      </c>
    </row>
    <row r="21" spans="2:15" x14ac:dyDescent="0.25">
      <c r="B21" s="143">
        <v>45</v>
      </c>
      <c r="C21" s="140" t="s">
        <v>15</v>
      </c>
      <c r="D21" s="100" t="s">
        <v>10</v>
      </c>
      <c r="E21" s="125">
        <v>20217.250517408469</v>
      </c>
      <c r="F21" s="126">
        <v>3.7508557736193513</v>
      </c>
      <c r="G21" s="127">
        <v>0</v>
      </c>
      <c r="H21" s="128">
        <v>10</v>
      </c>
      <c r="I21" s="128">
        <v>0</v>
      </c>
      <c r="J21" s="128">
        <v>20</v>
      </c>
      <c r="K21" s="128">
        <v>0</v>
      </c>
      <c r="L21" s="128">
        <v>5</v>
      </c>
      <c r="M21" s="127">
        <v>5</v>
      </c>
      <c r="N21" s="134">
        <v>5</v>
      </c>
      <c r="O21" s="136">
        <f t="shared" si="0"/>
        <v>48.75085577361935</v>
      </c>
    </row>
    <row r="22" spans="2:15" x14ac:dyDescent="0.25">
      <c r="B22" s="143">
        <v>18</v>
      </c>
      <c r="C22" s="140" t="s">
        <v>97</v>
      </c>
      <c r="D22" s="100" t="s">
        <v>10</v>
      </c>
      <c r="E22" s="125">
        <v>7212.3985984869169</v>
      </c>
      <c r="F22" s="126">
        <v>6.8111022349263886</v>
      </c>
      <c r="G22" s="127">
        <v>10</v>
      </c>
      <c r="H22" s="128">
        <v>0</v>
      </c>
      <c r="I22" s="128">
        <v>0</v>
      </c>
      <c r="J22" s="128">
        <v>20</v>
      </c>
      <c r="K22" s="128">
        <v>0</v>
      </c>
      <c r="L22" s="128">
        <v>5</v>
      </c>
      <c r="M22" s="127">
        <v>2.5</v>
      </c>
      <c r="N22" s="134">
        <v>5</v>
      </c>
      <c r="O22" s="136">
        <f t="shared" si="0"/>
        <v>49.311102234926388</v>
      </c>
    </row>
    <row r="23" spans="2:15" x14ac:dyDescent="0.25">
      <c r="B23" s="143">
        <v>2</v>
      </c>
      <c r="C23" s="140" t="s">
        <v>102</v>
      </c>
      <c r="D23" s="100" t="s">
        <v>10</v>
      </c>
      <c r="E23" s="125">
        <v>4792.8537618541959</v>
      </c>
      <c r="F23" s="126">
        <v>7.4332496576905527</v>
      </c>
      <c r="G23" s="127">
        <v>10</v>
      </c>
      <c r="H23" s="128">
        <v>0</v>
      </c>
      <c r="I23" s="128">
        <v>0</v>
      </c>
      <c r="J23" s="128">
        <v>20</v>
      </c>
      <c r="K23" s="128">
        <v>0</v>
      </c>
      <c r="L23" s="128">
        <v>5</v>
      </c>
      <c r="M23" s="127">
        <v>2.5</v>
      </c>
      <c r="N23" s="134">
        <v>5</v>
      </c>
      <c r="O23" s="136">
        <f t="shared" si="0"/>
        <v>49.933249657690553</v>
      </c>
    </row>
    <row r="24" spans="2:15" x14ac:dyDescent="0.25">
      <c r="B24" s="143">
        <v>12</v>
      </c>
      <c r="C24" s="140" t="s">
        <v>54</v>
      </c>
      <c r="D24" s="100" t="s">
        <v>10</v>
      </c>
      <c r="E24" s="125">
        <v>6176.5030295126944</v>
      </c>
      <c r="F24" s="126">
        <v>10.219648562300319</v>
      </c>
      <c r="G24" s="127">
        <v>10</v>
      </c>
      <c r="H24" s="128">
        <v>10</v>
      </c>
      <c r="I24" s="128">
        <v>0</v>
      </c>
      <c r="J24" s="128">
        <v>0</v>
      </c>
      <c r="K24" s="128">
        <v>5</v>
      </c>
      <c r="L24" s="128">
        <v>5</v>
      </c>
      <c r="M24" s="127">
        <v>5</v>
      </c>
      <c r="N24" s="134">
        <v>5</v>
      </c>
      <c r="O24" s="136">
        <f t="shared" si="0"/>
        <v>50.219648562300321</v>
      </c>
    </row>
    <row r="25" spans="2:15" x14ac:dyDescent="0.25">
      <c r="B25" s="143">
        <v>21</v>
      </c>
      <c r="C25" s="140" t="s">
        <v>87</v>
      </c>
      <c r="D25" s="100" t="s">
        <v>10</v>
      </c>
      <c r="E25" s="125">
        <v>8295.9835497391887</v>
      </c>
      <c r="F25" s="126">
        <v>10.882873117298036</v>
      </c>
      <c r="G25" s="127">
        <v>10</v>
      </c>
      <c r="H25" s="128">
        <v>10</v>
      </c>
      <c r="I25" s="128">
        <v>0</v>
      </c>
      <c r="J25" s="128">
        <v>0</v>
      </c>
      <c r="K25" s="128">
        <v>5</v>
      </c>
      <c r="L25" s="128">
        <v>5</v>
      </c>
      <c r="M25" s="127">
        <v>5</v>
      </c>
      <c r="N25" s="134">
        <v>5</v>
      </c>
      <c r="O25" s="136">
        <f t="shared" si="0"/>
        <v>50.882873117298033</v>
      </c>
    </row>
    <row r="26" spans="2:15" x14ac:dyDescent="0.25">
      <c r="B26" s="143">
        <v>41</v>
      </c>
      <c r="C26" s="140" t="s">
        <v>25</v>
      </c>
      <c r="D26" s="100" t="s">
        <v>10</v>
      </c>
      <c r="E26" s="125">
        <v>13155.09404038418</v>
      </c>
      <c r="F26" s="126">
        <v>6.9274874486535829</v>
      </c>
      <c r="G26" s="127">
        <v>10</v>
      </c>
      <c r="H26" s="128">
        <v>10</v>
      </c>
      <c r="I26" s="128">
        <v>10</v>
      </c>
      <c r="J26" s="128">
        <v>0</v>
      </c>
      <c r="K26" s="128">
        <v>0</v>
      </c>
      <c r="L26" s="128">
        <v>5</v>
      </c>
      <c r="M26" s="127">
        <v>5</v>
      </c>
      <c r="N26" s="134">
        <v>5</v>
      </c>
      <c r="O26" s="136">
        <f t="shared" si="0"/>
        <v>51.927487448653579</v>
      </c>
    </row>
    <row r="27" spans="2:15" x14ac:dyDescent="0.25">
      <c r="B27" s="143">
        <v>8</v>
      </c>
      <c r="C27" s="140" t="s">
        <v>109</v>
      </c>
      <c r="D27" s="100" t="s">
        <v>10</v>
      </c>
      <c r="E27" s="125">
        <v>5738.1344673681679</v>
      </c>
      <c r="F27" s="126">
        <v>0</v>
      </c>
      <c r="G27" s="127">
        <v>0</v>
      </c>
      <c r="H27" s="128">
        <v>10</v>
      </c>
      <c r="I27" s="128">
        <v>10</v>
      </c>
      <c r="J27" s="128">
        <v>20</v>
      </c>
      <c r="K27" s="128">
        <v>0</v>
      </c>
      <c r="L27" s="128">
        <v>5</v>
      </c>
      <c r="M27" s="127">
        <v>2.5</v>
      </c>
      <c r="N27" s="134">
        <v>5</v>
      </c>
      <c r="O27" s="136">
        <f t="shared" si="0"/>
        <v>52.5</v>
      </c>
    </row>
    <row r="28" spans="2:15" x14ac:dyDescent="0.25">
      <c r="B28" s="143">
        <v>37</v>
      </c>
      <c r="C28" s="140" t="s">
        <v>57</v>
      </c>
      <c r="D28" s="100" t="s">
        <v>10</v>
      </c>
      <c r="E28" s="125">
        <v>12194.975135945489</v>
      </c>
      <c r="F28" s="126">
        <v>8.8991898676403469</v>
      </c>
      <c r="G28" s="127">
        <v>10</v>
      </c>
      <c r="H28" s="128">
        <v>10</v>
      </c>
      <c r="I28" s="128">
        <v>10</v>
      </c>
      <c r="J28" s="128">
        <v>0</v>
      </c>
      <c r="K28" s="128">
        <v>5</v>
      </c>
      <c r="L28" s="128">
        <v>0</v>
      </c>
      <c r="M28" s="127">
        <v>5</v>
      </c>
      <c r="N28" s="134">
        <v>5</v>
      </c>
      <c r="O28" s="136">
        <f t="shared" si="0"/>
        <v>53.899189867640345</v>
      </c>
    </row>
    <row r="29" spans="2:15" x14ac:dyDescent="0.25">
      <c r="B29" s="143">
        <v>40</v>
      </c>
      <c r="C29" s="140" t="s">
        <v>36</v>
      </c>
      <c r="D29" s="100" t="s">
        <v>10</v>
      </c>
      <c r="E29" s="125">
        <v>12873.521346742309</v>
      </c>
      <c r="F29" s="126">
        <v>6.8872660885440435</v>
      </c>
      <c r="G29" s="127">
        <v>10</v>
      </c>
      <c r="H29" s="128">
        <v>10</v>
      </c>
      <c r="I29" s="128">
        <v>10</v>
      </c>
      <c r="J29" s="128">
        <v>0</v>
      </c>
      <c r="K29" s="128">
        <v>5</v>
      </c>
      <c r="L29" s="128">
        <v>5</v>
      </c>
      <c r="M29" s="127">
        <v>5</v>
      </c>
      <c r="N29" s="134">
        <v>5</v>
      </c>
      <c r="O29" s="136">
        <f t="shared" si="0"/>
        <v>56.887266088544045</v>
      </c>
    </row>
    <row r="30" spans="2:15" x14ac:dyDescent="0.25">
      <c r="B30" s="143">
        <v>24</v>
      </c>
      <c r="C30" s="140" t="s">
        <v>93</v>
      </c>
      <c r="D30" s="100" t="s">
        <v>10</v>
      </c>
      <c r="E30" s="125">
        <v>9587.0051149647843</v>
      </c>
      <c r="F30" s="126">
        <v>13.303000912825194</v>
      </c>
      <c r="G30" s="127">
        <v>10</v>
      </c>
      <c r="H30" s="128">
        <v>10</v>
      </c>
      <c r="I30" s="128">
        <v>10</v>
      </c>
      <c r="J30" s="128">
        <v>0</v>
      </c>
      <c r="K30" s="128">
        <v>0</v>
      </c>
      <c r="L30" s="128">
        <v>5</v>
      </c>
      <c r="M30" s="127">
        <v>5</v>
      </c>
      <c r="N30" s="134">
        <v>5</v>
      </c>
      <c r="O30" s="136">
        <f t="shared" si="0"/>
        <v>58.303000912825198</v>
      </c>
    </row>
    <row r="31" spans="2:15" x14ac:dyDescent="0.25">
      <c r="B31" s="143">
        <v>52</v>
      </c>
      <c r="C31" s="140" t="s">
        <v>187</v>
      </c>
      <c r="D31" s="100"/>
      <c r="E31" s="129"/>
      <c r="F31" s="126">
        <v>3.4153925148334094</v>
      </c>
      <c r="G31" s="127">
        <v>0</v>
      </c>
      <c r="H31" s="128">
        <v>10</v>
      </c>
      <c r="I31" s="128">
        <v>10</v>
      </c>
      <c r="J31" s="128">
        <v>20</v>
      </c>
      <c r="K31" s="128">
        <v>0</v>
      </c>
      <c r="L31" s="128">
        <v>5</v>
      </c>
      <c r="M31" s="127">
        <v>5</v>
      </c>
      <c r="N31" s="134">
        <v>5</v>
      </c>
      <c r="O31" s="136">
        <f t="shared" si="0"/>
        <v>58.415392514833414</v>
      </c>
    </row>
    <row r="32" spans="2:15" x14ac:dyDescent="0.25">
      <c r="B32" s="143">
        <v>49</v>
      </c>
      <c r="C32" s="140" t="s">
        <v>74</v>
      </c>
      <c r="D32" s="100" t="s">
        <v>6</v>
      </c>
      <c r="E32" s="125">
        <v>67578.275545915152</v>
      </c>
      <c r="F32" s="126">
        <v>9.7096074851665897</v>
      </c>
      <c r="G32" s="127">
        <v>10</v>
      </c>
      <c r="H32" s="128">
        <v>10</v>
      </c>
      <c r="I32" s="128">
        <v>10</v>
      </c>
      <c r="J32" s="128">
        <v>0</v>
      </c>
      <c r="K32" s="128">
        <v>5</v>
      </c>
      <c r="L32" s="128">
        <v>5</v>
      </c>
      <c r="M32" s="127">
        <v>5</v>
      </c>
      <c r="N32" s="134">
        <v>5</v>
      </c>
      <c r="O32" s="136">
        <f t="shared" si="0"/>
        <v>59.709607485166586</v>
      </c>
    </row>
    <row r="33" spans="2:15" x14ac:dyDescent="0.25">
      <c r="B33" s="143">
        <v>38</v>
      </c>
      <c r="C33" s="140" t="s">
        <v>59</v>
      </c>
      <c r="D33" s="100" t="s">
        <v>10</v>
      </c>
      <c r="E33" s="125">
        <v>12515.21598866507</v>
      </c>
      <c r="F33" s="126">
        <v>7.3896052031036055</v>
      </c>
      <c r="G33" s="127">
        <v>10</v>
      </c>
      <c r="H33" s="128">
        <v>10</v>
      </c>
      <c r="I33" s="128">
        <v>0</v>
      </c>
      <c r="J33" s="128">
        <v>20</v>
      </c>
      <c r="K33" s="128">
        <v>0</v>
      </c>
      <c r="L33" s="128">
        <v>5</v>
      </c>
      <c r="M33" s="127">
        <v>2.5</v>
      </c>
      <c r="N33" s="134">
        <v>5</v>
      </c>
      <c r="O33" s="136">
        <f t="shared" si="0"/>
        <v>59.889605203103606</v>
      </c>
    </row>
    <row r="34" spans="2:15" x14ac:dyDescent="0.25">
      <c r="B34" s="143">
        <v>16</v>
      </c>
      <c r="C34" s="140" t="s">
        <v>49</v>
      </c>
      <c r="D34" s="100" t="s">
        <v>10</v>
      </c>
      <c r="E34" s="125">
        <v>6854.7956451438276</v>
      </c>
      <c r="F34" s="126">
        <v>7.3921725116452706</v>
      </c>
      <c r="G34" s="127">
        <v>10</v>
      </c>
      <c r="H34" s="128">
        <v>0</v>
      </c>
      <c r="I34" s="128">
        <v>10</v>
      </c>
      <c r="J34" s="128">
        <v>20</v>
      </c>
      <c r="K34" s="128">
        <v>0</v>
      </c>
      <c r="L34" s="128">
        <v>5</v>
      </c>
      <c r="M34" s="127">
        <v>2.5</v>
      </c>
      <c r="N34" s="134">
        <v>5</v>
      </c>
      <c r="O34" s="136">
        <f t="shared" si="0"/>
        <v>59.892172511645271</v>
      </c>
    </row>
    <row r="35" spans="2:15" x14ac:dyDescent="0.25">
      <c r="B35" s="143">
        <v>11</v>
      </c>
      <c r="C35" s="140" t="s">
        <v>54</v>
      </c>
      <c r="D35" s="100" t="s">
        <v>10</v>
      </c>
      <c r="E35" s="125">
        <v>6167.4940347502024</v>
      </c>
      <c r="F35" s="126">
        <v>6.2865130077590141</v>
      </c>
      <c r="G35" s="127">
        <v>10</v>
      </c>
      <c r="H35" s="128">
        <v>0</v>
      </c>
      <c r="I35" s="128">
        <v>10</v>
      </c>
      <c r="J35" s="128">
        <v>20</v>
      </c>
      <c r="K35" s="128">
        <v>5</v>
      </c>
      <c r="L35" s="128">
        <v>5</v>
      </c>
      <c r="M35" s="127">
        <v>5</v>
      </c>
      <c r="N35" s="134">
        <v>0</v>
      </c>
      <c r="O35" s="136">
        <f t="shared" ref="O35:O54" si="1">SUM(F35:N35)</f>
        <v>61.286513007759012</v>
      </c>
    </row>
    <row r="36" spans="2:15" x14ac:dyDescent="0.25">
      <c r="B36" s="143">
        <v>28</v>
      </c>
      <c r="C36" s="140" t="s">
        <v>25</v>
      </c>
      <c r="D36" s="100" t="s">
        <v>10</v>
      </c>
      <c r="E36" s="125">
        <v>9906.2901410090253</v>
      </c>
      <c r="F36" s="126">
        <v>5.9938384299406664</v>
      </c>
      <c r="G36" s="127">
        <v>10</v>
      </c>
      <c r="H36" s="128">
        <v>10</v>
      </c>
      <c r="I36" s="128">
        <v>0</v>
      </c>
      <c r="J36" s="128">
        <v>20</v>
      </c>
      <c r="K36" s="128">
        <v>5</v>
      </c>
      <c r="L36" s="128">
        <v>5</v>
      </c>
      <c r="M36" s="127">
        <v>2.5</v>
      </c>
      <c r="N36" s="134">
        <v>5</v>
      </c>
      <c r="O36" s="136">
        <f t="shared" si="1"/>
        <v>63.493838429940666</v>
      </c>
    </row>
    <row r="37" spans="2:15" ht="26.4" x14ac:dyDescent="0.25">
      <c r="B37" s="143">
        <v>43</v>
      </c>
      <c r="C37" s="140" t="s">
        <v>84</v>
      </c>
      <c r="D37" s="100" t="s">
        <v>10</v>
      </c>
      <c r="E37" s="125">
        <v>17275.110041543579</v>
      </c>
      <c r="F37" s="126">
        <v>8.6552943861250569</v>
      </c>
      <c r="G37" s="127">
        <v>10</v>
      </c>
      <c r="H37" s="128">
        <v>10</v>
      </c>
      <c r="I37" s="128">
        <v>0</v>
      </c>
      <c r="J37" s="128">
        <v>20</v>
      </c>
      <c r="K37" s="128">
        <v>0</v>
      </c>
      <c r="L37" s="128">
        <v>5</v>
      </c>
      <c r="M37" s="127">
        <v>5</v>
      </c>
      <c r="N37" s="134">
        <v>5</v>
      </c>
      <c r="O37" s="136">
        <f t="shared" si="1"/>
        <v>63.655294386125057</v>
      </c>
    </row>
    <row r="38" spans="2:15" x14ac:dyDescent="0.25">
      <c r="B38" s="143">
        <v>5</v>
      </c>
      <c r="C38" s="140" t="s">
        <v>95</v>
      </c>
      <c r="D38" s="100" t="s">
        <v>10</v>
      </c>
      <c r="E38" s="125">
        <v>4872.6846917958892</v>
      </c>
      <c r="F38" s="126">
        <v>4.9249771793701509</v>
      </c>
      <c r="G38" s="127">
        <v>10</v>
      </c>
      <c r="H38" s="128">
        <v>0</v>
      </c>
      <c r="I38" s="128">
        <v>10</v>
      </c>
      <c r="J38" s="128">
        <v>20</v>
      </c>
      <c r="K38" s="128">
        <v>5</v>
      </c>
      <c r="L38" s="128">
        <v>5</v>
      </c>
      <c r="M38" s="127">
        <v>5</v>
      </c>
      <c r="N38" s="134">
        <v>5</v>
      </c>
      <c r="O38" s="136">
        <f t="shared" si="1"/>
        <v>64.92497717937016</v>
      </c>
    </row>
    <row r="39" spans="2:15" x14ac:dyDescent="0.25">
      <c r="B39" s="143">
        <v>33</v>
      </c>
      <c r="C39" s="140" t="s">
        <v>87</v>
      </c>
      <c r="D39" s="100" t="s">
        <v>10</v>
      </c>
      <c r="E39" s="125">
        <v>10319.909340014659</v>
      </c>
      <c r="F39" s="126">
        <v>5.6583751711547245</v>
      </c>
      <c r="G39" s="127">
        <v>10</v>
      </c>
      <c r="H39" s="128">
        <v>10</v>
      </c>
      <c r="I39" s="128">
        <v>10</v>
      </c>
      <c r="J39" s="128">
        <v>20</v>
      </c>
      <c r="K39" s="128">
        <v>5</v>
      </c>
      <c r="L39" s="128">
        <v>0</v>
      </c>
      <c r="M39" s="127">
        <v>5</v>
      </c>
      <c r="N39" s="134">
        <v>0</v>
      </c>
      <c r="O39" s="136">
        <f t="shared" si="1"/>
        <v>65.658375171154717</v>
      </c>
    </row>
    <row r="40" spans="2:15" x14ac:dyDescent="0.25">
      <c r="B40" s="143">
        <v>26</v>
      </c>
      <c r="C40" s="140" t="s">
        <v>29</v>
      </c>
      <c r="D40" s="100" t="s">
        <v>10</v>
      </c>
      <c r="E40" s="125">
        <v>9822.8700006133549</v>
      </c>
      <c r="F40" s="126">
        <v>5.7884527612962113</v>
      </c>
      <c r="G40" s="127">
        <v>10</v>
      </c>
      <c r="H40" s="128">
        <v>10</v>
      </c>
      <c r="I40" s="128">
        <v>10</v>
      </c>
      <c r="J40" s="128">
        <v>20</v>
      </c>
      <c r="K40" s="128">
        <v>0</v>
      </c>
      <c r="L40" s="128">
        <v>0</v>
      </c>
      <c r="M40" s="127">
        <v>5</v>
      </c>
      <c r="N40" s="134">
        <v>5</v>
      </c>
      <c r="O40" s="136">
        <f t="shared" si="1"/>
        <v>65.788452761296213</v>
      </c>
    </row>
    <row r="41" spans="2:15" x14ac:dyDescent="0.25">
      <c r="B41" s="143">
        <v>27</v>
      </c>
      <c r="C41" s="140" t="s">
        <v>27</v>
      </c>
      <c r="D41" s="100" t="s">
        <v>10</v>
      </c>
      <c r="E41" s="125">
        <v>9823.3162034714151</v>
      </c>
      <c r="F41" s="126">
        <v>8.2992925604746706</v>
      </c>
      <c r="G41" s="127">
        <v>10</v>
      </c>
      <c r="H41" s="128">
        <v>10</v>
      </c>
      <c r="I41" s="128">
        <v>0</v>
      </c>
      <c r="J41" s="128">
        <v>20</v>
      </c>
      <c r="K41" s="128">
        <v>5</v>
      </c>
      <c r="L41" s="128">
        <v>5</v>
      </c>
      <c r="M41" s="127">
        <v>2.5</v>
      </c>
      <c r="N41" s="134">
        <v>5</v>
      </c>
      <c r="O41" s="136">
        <f t="shared" si="1"/>
        <v>65.799292560474669</v>
      </c>
    </row>
    <row r="42" spans="2:15" x14ac:dyDescent="0.25">
      <c r="B42" s="143">
        <v>7</v>
      </c>
      <c r="C42" s="140" t="s">
        <v>104</v>
      </c>
      <c r="D42" s="100" t="s">
        <v>10</v>
      </c>
      <c r="E42" s="125">
        <v>5509.1735949318163</v>
      </c>
      <c r="F42" s="126">
        <v>6.8735737106344139</v>
      </c>
      <c r="G42" s="127">
        <v>10</v>
      </c>
      <c r="H42" s="128">
        <v>10</v>
      </c>
      <c r="I42" s="128">
        <v>10</v>
      </c>
      <c r="J42" s="128">
        <v>20</v>
      </c>
      <c r="K42" s="128">
        <v>5</v>
      </c>
      <c r="L42" s="128">
        <v>0</v>
      </c>
      <c r="M42" s="127">
        <v>5</v>
      </c>
      <c r="N42" s="134">
        <v>0</v>
      </c>
      <c r="O42" s="136">
        <f t="shared" si="1"/>
        <v>66.873573710634417</v>
      </c>
    </row>
    <row r="43" spans="2:15" x14ac:dyDescent="0.25">
      <c r="B43" s="143">
        <v>4</v>
      </c>
      <c r="C43" s="140" t="s">
        <v>100</v>
      </c>
      <c r="D43" s="100" t="s">
        <v>10</v>
      </c>
      <c r="E43" s="125">
        <v>4838.6380127556013</v>
      </c>
      <c r="F43" s="126">
        <v>15</v>
      </c>
      <c r="G43" s="127">
        <v>10</v>
      </c>
      <c r="H43" s="128">
        <v>0</v>
      </c>
      <c r="I43" s="128">
        <v>10</v>
      </c>
      <c r="J43" s="128">
        <v>20</v>
      </c>
      <c r="K43" s="128">
        <v>0</v>
      </c>
      <c r="L43" s="128">
        <v>5</v>
      </c>
      <c r="M43" s="127">
        <v>2.5</v>
      </c>
      <c r="N43" s="134">
        <v>5</v>
      </c>
      <c r="O43" s="136">
        <f t="shared" si="1"/>
        <v>67.5</v>
      </c>
    </row>
    <row r="44" spans="2:15" x14ac:dyDescent="0.25">
      <c r="B44" s="143">
        <v>35</v>
      </c>
      <c r="C44" s="140" t="s">
        <v>82</v>
      </c>
      <c r="D44" s="100" t="s">
        <v>10</v>
      </c>
      <c r="E44" s="125">
        <v>11385.834420363521</v>
      </c>
      <c r="F44" s="126">
        <v>7.6300775901414877</v>
      </c>
      <c r="G44" s="127">
        <v>10</v>
      </c>
      <c r="H44" s="128">
        <v>10</v>
      </c>
      <c r="I44" s="128">
        <v>0</v>
      </c>
      <c r="J44" s="128">
        <v>20</v>
      </c>
      <c r="K44" s="128">
        <v>5</v>
      </c>
      <c r="L44" s="128">
        <v>5</v>
      </c>
      <c r="M44" s="127">
        <v>5</v>
      </c>
      <c r="N44" s="134">
        <v>5</v>
      </c>
      <c r="O44" s="136">
        <f t="shared" si="1"/>
        <v>67.630077590141497</v>
      </c>
    </row>
    <row r="45" spans="2:15" x14ac:dyDescent="0.25">
      <c r="B45" s="143">
        <v>42</v>
      </c>
      <c r="C45" s="140" t="s">
        <v>32</v>
      </c>
      <c r="D45" s="100" t="s">
        <v>10</v>
      </c>
      <c r="E45" s="125">
        <v>13459.140465401861</v>
      </c>
      <c r="F45" s="126">
        <v>9.0540848927430382</v>
      </c>
      <c r="G45" s="127">
        <v>10</v>
      </c>
      <c r="H45" s="128">
        <v>10</v>
      </c>
      <c r="I45" s="128">
        <v>10</v>
      </c>
      <c r="J45" s="128">
        <v>20</v>
      </c>
      <c r="K45" s="128">
        <v>0</v>
      </c>
      <c r="L45" s="128">
        <v>5</v>
      </c>
      <c r="M45" s="127">
        <v>2.5</v>
      </c>
      <c r="N45" s="134">
        <v>5</v>
      </c>
      <c r="O45" s="136">
        <f t="shared" si="1"/>
        <v>71.554084892743035</v>
      </c>
    </row>
    <row r="46" spans="2:15" x14ac:dyDescent="0.25">
      <c r="B46" s="143">
        <v>13</v>
      </c>
      <c r="C46" s="140" t="s">
        <v>46</v>
      </c>
      <c r="D46" s="100" t="s">
        <v>10</v>
      </c>
      <c r="E46" s="125">
        <v>6315.5988998939538</v>
      </c>
      <c r="F46" s="126">
        <v>6.8949680511182105</v>
      </c>
      <c r="G46" s="127">
        <v>10</v>
      </c>
      <c r="H46" s="128">
        <v>10</v>
      </c>
      <c r="I46" s="128">
        <v>10</v>
      </c>
      <c r="J46" s="128">
        <v>20</v>
      </c>
      <c r="K46" s="128">
        <v>5</v>
      </c>
      <c r="L46" s="128">
        <v>0</v>
      </c>
      <c r="M46" s="127">
        <v>5</v>
      </c>
      <c r="N46" s="134">
        <v>5</v>
      </c>
      <c r="O46" s="136">
        <f t="shared" si="1"/>
        <v>71.894968051118212</v>
      </c>
    </row>
    <row r="47" spans="2:15" ht="26.4" x14ac:dyDescent="0.25">
      <c r="B47" s="143">
        <v>34</v>
      </c>
      <c r="C47" s="140" t="s">
        <v>23</v>
      </c>
      <c r="D47" s="100" t="s">
        <v>10</v>
      </c>
      <c r="E47" s="125">
        <v>10884.220622309191</v>
      </c>
      <c r="F47" s="126">
        <v>7.2193062528525784</v>
      </c>
      <c r="G47" s="127">
        <v>10</v>
      </c>
      <c r="H47" s="128">
        <v>10</v>
      </c>
      <c r="I47" s="128">
        <v>10</v>
      </c>
      <c r="J47" s="128">
        <v>20</v>
      </c>
      <c r="K47" s="128">
        <v>0</v>
      </c>
      <c r="L47" s="128">
        <v>5</v>
      </c>
      <c r="M47" s="127">
        <v>5</v>
      </c>
      <c r="N47" s="134">
        <v>5</v>
      </c>
      <c r="O47" s="136">
        <f t="shared" si="1"/>
        <v>72.219306252852576</v>
      </c>
    </row>
    <row r="48" spans="2:15" x14ac:dyDescent="0.25">
      <c r="B48" s="143">
        <v>6</v>
      </c>
      <c r="C48" s="140" t="s">
        <v>91</v>
      </c>
      <c r="D48" s="100" t="s">
        <v>10</v>
      </c>
      <c r="E48" s="125">
        <v>5330.4653636241983</v>
      </c>
      <c r="F48" s="126">
        <v>7.7952418986764034</v>
      </c>
      <c r="G48" s="127">
        <v>10</v>
      </c>
      <c r="H48" s="128">
        <v>10</v>
      </c>
      <c r="I48" s="128">
        <v>10</v>
      </c>
      <c r="J48" s="128">
        <v>20</v>
      </c>
      <c r="K48" s="128">
        <v>0</v>
      </c>
      <c r="L48" s="128">
        <v>5</v>
      </c>
      <c r="M48" s="127">
        <v>5</v>
      </c>
      <c r="N48" s="134">
        <v>5</v>
      </c>
      <c r="O48" s="136">
        <f t="shared" si="1"/>
        <v>72.795241898676409</v>
      </c>
    </row>
    <row r="49" spans="2:15" x14ac:dyDescent="0.25">
      <c r="B49" s="143">
        <v>39</v>
      </c>
      <c r="C49" s="140" t="s">
        <v>89</v>
      </c>
      <c r="D49" s="100" t="s">
        <v>10</v>
      </c>
      <c r="E49" s="125">
        <v>12561.064883492159</v>
      </c>
      <c r="F49" s="126">
        <v>6.4114559561843905</v>
      </c>
      <c r="G49" s="127">
        <v>10</v>
      </c>
      <c r="H49" s="128">
        <v>10</v>
      </c>
      <c r="I49" s="128">
        <v>10</v>
      </c>
      <c r="J49" s="128">
        <v>20</v>
      </c>
      <c r="K49" s="128">
        <v>5</v>
      </c>
      <c r="L49" s="128">
        <v>5</v>
      </c>
      <c r="M49" s="127">
        <v>2.5</v>
      </c>
      <c r="N49" s="134">
        <v>5</v>
      </c>
      <c r="O49" s="136">
        <f t="shared" si="1"/>
        <v>73.911455956184398</v>
      </c>
    </row>
    <row r="50" spans="2:15" x14ac:dyDescent="0.25">
      <c r="B50" s="143">
        <v>30</v>
      </c>
      <c r="C50" s="140" t="s">
        <v>9</v>
      </c>
      <c r="D50" s="100" t="s">
        <v>10</v>
      </c>
      <c r="E50" s="125">
        <v>9999.0109167551727</v>
      </c>
      <c r="F50" s="126">
        <v>12.852863989046098</v>
      </c>
      <c r="G50" s="127">
        <v>10</v>
      </c>
      <c r="H50" s="128">
        <v>10</v>
      </c>
      <c r="I50" s="128">
        <v>10</v>
      </c>
      <c r="J50" s="128">
        <v>20</v>
      </c>
      <c r="K50" s="128">
        <v>0</v>
      </c>
      <c r="L50" s="128">
        <v>5</v>
      </c>
      <c r="M50" s="127">
        <v>2.5</v>
      </c>
      <c r="N50" s="134">
        <v>5</v>
      </c>
      <c r="O50" s="136">
        <f t="shared" si="1"/>
        <v>75.352863989046099</v>
      </c>
    </row>
    <row r="51" spans="2:15" x14ac:dyDescent="0.25">
      <c r="B51" s="143">
        <v>10</v>
      </c>
      <c r="C51" s="140" t="s">
        <v>80</v>
      </c>
      <c r="D51" s="100" t="s">
        <v>10</v>
      </c>
      <c r="E51" s="125">
        <v>5918.0680772032047</v>
      </c>
      <c r="F51" s="126">
        <v>11.08740301232314</v>
      </c>
      <c r="G51" s="127">
        <v>10</v>
      </c>
      <c r="H51" s="128">
        <v>10</v>
      </c>
      <c r="I51" s="128">
        <v>10</v>
      </c>
      <c r="J51" s="128">
        <v>20</v>
      </c>
      <c r="K51" s="128">
        <v>5</v>
      </c>
      <c r="L51" s="128">
        <v>5</v>
      </c>
      <c r="M51" s="127">
        <v>5</v>
      </c>
      <c r="N51" s="134">
        <v>0</v>
      </c>
      <c r="O51" s="136">
        <f t="shared" si="1"/>
        <v>76.087403012323136</v>
      </c>
    </row>
    <row r="52" spans="2:15" x14ac:dyDescent="0.25">
      <c r="B52" s="143">
        <v>3</v>
      </c>
      <c r="C52" s="140" t="s">
        <v>111</v>
      </c>
      <c r="D52" s="100" t="s">
        <v>10</v>
      </c>
      <c r="E52" s="125">
        <v>4793.7957260219382</v>
      </c>
      <c r="F52" s="126">
        <v>8.8923436786855312</v>
      </c>
      <c r="G52" s="127">
        <v>10</v>
      </c>
      <c r="H52" s="128">
        <v>10</v>
      </c>
      <c r="I52" s="128">
        <v>10</v>
      </c>
      <c r="J52" s="128">
        <v>20</v>
      </c>
      <c r="K52" s="128">
        <v>5</v>
      </c>
      <c r="L52" s="128">
        <v>5</v>
      </c>
      <c r="M52" s="127">
        <v>5</v>
      </c>
      <c r="N52" s="134">
        <v>5</v>
      </c>
      <c r="O52" s="136">
        <f t="shared" si="1"/>
        <v>78.892343678685535</v>
      </c>
    </row>
    <row r="53" spans="2:15" x14ac:dyDescent="0.25">
      <c r="B53" s="143">
        <v>51</v>
      </c>
      <c r="C53" s="140" t="s">
        <v>189</v>
      </c>
      <c r="D53" s="100" t="s">
        <v>10</v>
      </c>
      <c r="E53" s="125">
        <v>3841.6330100570699</v>
      </c>
      <c r="F53" s="126">
        <v>8.9154495664080322</v>
      </c>
      <c r="G53" s="127">
        <v>10</v>
      </c>
      <c r="H53" s="128">
        <v>10</v>
      </c>
      <c r="I53" s="128">
        <v>10</v>
      </c>
      <c r="J53" s="128">
        <v>20</v>
      </c>
      <c r="K53" s="128">
        <v>5</v>
      </c>
      <c r="L53" s="128">
        <v>5</v>
      </c>
      <c r="M53" s="127">
        <v>5</v>
      </c>
      <c r="N53" s="134">
        <v>5</v>
      </c>
      <c r="O53" s="136">
        <f t="shared" si="1"/>
        <v>78.915449566408029</v>
      </c>
    </row>
    <row r="54" spans="2:15" ht="13.8" thickBot="1" x14ac:dyDescent="0.3">
      <c r="B54" s="144">
        <v>32</v>
      </c>
      <c r="C54" s="141" t="s">
        <v>44</v>
      </c>
      <c r="D54" s="101" t="s">
        <v>10</v>
      </c>
      <c r="E54" s="130">
        <v>10319.849514028951</v>
      </c>
      <c r="F54" s="131">
        <v>14.893884071200365</v>
      </c>
      <c r="G54" s="132">
        <v>10</v>
      </c>
      <c r="H54" s="133">
        <v>10</v>
      </c>
      <c r="I54" s="133">
        <v>10</v>
      </c>
      <c r="J54" s="133">
        <v>20</v>
      </c>
      <c r="K54" s="133">
        <v>0</v>
      </c>
      <c r="L54" s="133">
        <v>5</v>
      </c>
      <c r="M54" s="132">
        <v>5</v>
      </c>
      <c r="N54" s="135">
        <v>5</v>
      </c>
      <c r="O54" s="137">
        <f t="shared" si="1"/>
        <v>79.893884071200361</v>
      </c>
    </row>
  </sheetData>
  <autoFilter ref="B2:O54" xr:uid="{3D30AD7F-220E-4D46-A60E-EDCD72296B76}">
    <sortState xmlns:xlrd2="http://schemas.microsoft.com/office/spreadsheetml/2017/richdata2" ref="B3:O54">
      <sortCondition ref="O2:O54"/>
    </sortState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0534-B5A8-4AA8-81F8-63D1F2C0549C}">
  <dimension ref="B1:F13"/>
  <sheetViews>
    <sheetView zoomScaleNormal="100" workbookViewId="0">
      <selection activeCell="M5" sqref="M5"/>
    </sheetView>
  </sheetViews>
  <sheetFormatPr baseColWidth="10" defaultRowHeight="13.2" x14ac:dyDescent="0.25"/>
  <cols>
    <col min="2" max="2" width="48.33203125" bestFit="1" customWidth="1"/>
    <col min="3" max="4" width="12.21875" style="2" customWidth="1"/>
    <col min="5" max="6" width="12.21875" customWidth="1"/>
  </cols>
  <sheetData>
    <row r="1" spans="2:6" ht="13.8" thickBot="1" x14ac:dyDescent="0.3"/>
    <row r="2" spans="2:6" ht="30.6" customHeight="1" thickBot="1" x14ac:dyDescent="0.3">
      <c r="B2" s="113" t="s">
        <v>216</v>
      </c>
      <c r="C2" s="114" t="s">
        <v>212</v>
      </c>
      <c r="D2" s="114" t="s">
        <v>218</v>
      </c>
      <c r="E2" s="114" t="s">
        <v>217</v>
      </c>
      <c r="F2" s="115" t="s">
        <v>136</v>
      </c>
    </row>
    <row r="3" spans="2:6" x14ac:dyDescent="0.25">
      <c r="B3" s="110" t="s">
        <v>18</v>
      </c>
      <c r="C3" s="111">
        <v>11522.07522943864</v>
      </c>
      <c r="D3" s="111">
        <v>25.3645</v>
      </c>
      <c r="E3" s="111">
        <v>10</v>
      </c>
      <c r="F3" s="112">
        <v>60.3645</v>
      </c>
    </row>
    <row r="4" spans="2:6" x14ac:dyDescent="0.25">
      <c r="B4" s="40" t="s">
        <v>61</v>
      </c>
      <c r="C4" s="102">
        <v>7043.7771445962289</v>
      </c>
      <c r="D4" s="102">
        <v>34.685000000000002</v>
      </c>
      <c r="E4" s="102">
        <v>10</v>
      </c>
      <c r="F4" s="103">
        <v>69.685000000000002</v>
      </c>
    </row>
    <row r="5" spans="2:6" x14ac:dyDescent="0.25">
      <c r="B5" s="40" t="s">
        <v>213</v>
      </c>
      <c r="C5" s="102">
        <v>5829.4294500937131</v>
      </c>
      <c r="D5" s="102">
        <v>35.297499985799085</v>
      </c>
      <c r="E5" s="102">
        <v>10</v>
      </c>
      <c r="F5" s="103">
        <v>70.297499985799078</v>
      </c>
    </row>
    <row r="6" spans="2:6" x14ac:dyDescent="0.25">
      <c r="B6" s="40" t="s">
        <v>63</v>
      </c>
      <c r="C6" s="102">
        <v>30163.765722425611</v>
      </c>
      <c r="D6" s="102">
        <v>13.685</v>
      </c>
      <c r="E6" s="102">
        <v>10</v>
      </c>
      <c r="F6" s="103">
        <v>73.685000000000002</v>
      </c>
    </row>
    <row r="7" spans="2:6" x14ac:dyDescent="0.25">
      <c r="B7" s="40" t="s">
        <v>20</v>
      </c>
      <c r="C7" s="102">
        <v>8910.6172418426795</v>
      </c>
      <c r="D7" s="102">
        <v>28.931000000000001</v>
      </c>
      <c r="E7" s="102">
        <v>10</v>
      </c>
      <c r="F7" s="103">
        <v>73.930999999999997</v>
      </c>
    </row>
    <row r="8" spans="2:6" x14ac:dyDescent="0.25">
      <c r="B8" s="40" t="s">
        <v>215</v>
      </c>
      <c r="C8" s="102"/>
      <c r="D8" s="102"/>
      <c r="E8" s="102"/>
      <c r="F8" s="103"/>
    </row>
    <row r="9" spans="2:6" x14ac:dyDescent="0.25">
      <c r="B9" s="40" t="s">
        <v>80</v>
      </c>
      <c r="C9" s="102">
        <v>5918.0680772032047</v>
      </c>
      <c r="D9" s="102">
        <v>45.423000000000002</v>
      </c>
      <c r="E9" s="102">
        <v>0</v>
      </c>
      <c r="F9" s="103">
        <v>195.423</v>
      </c>
    </row>
    <row r="10" spans="2:6" x14ac:dyDescent="0.25">
      <c r="B10" s="40" t="s">
        <v>111</v>
      </c>
      <c r="C10" s="102">
        <v>4793.7957260219382</v>
      </c>
      <c r="D10" s="102">
        <v>36.445499999999996</v>
      </c>
      <c r="E10" s="102">
        <v>10</v>
      </c>
      <c r="F10" s="103">
        <v>196.44549999999998</v>
      </c>
    </row>
    <row r="11" spans="2:6" x14ac:dyDescent="0.25">
      <c r="B11" s="40" t="s">
        <v>189</v>
      </c>
      <c r="C11" s="102">
        <v>3841.6330100570699</v>
      </c>
      <c r="D11" s="102">
        <v>36.54</v>
      </c>
      <c r="E11" s="102">
        <v>10</v>
      </c>
      <c r="F11" s="103">
        <v>196.54</v>
      </c>
    </row>
    <row r="12" spans="2:6" x14ac:dyDescent="0.25">
      <c r="B12" s="40" t="s">
        <v>214</v>
      </c>
      <c r="C12" s="102">
        <v>9999.0109167551727</v>
      </c>
      <c r="D12" s="102">
        <v>52.643500000000003</v>
      </c>
      <c r="E12" s="102">
        <v>10</v>
      </c>
      <c r="F12" s="103">
        <v>197.64350000000002</v>
      </c>
    </row>
    <row r="13" spans="2:6" ht="13.8" thickBot="1" x14ac:dyDescent="0.3">
      <c r="B13" s="104" t="s">
        <v>44</v>
      </c>
      <c r="C13" s="105">
        <v>10319.849514028951</v>
      </c>
      <c r="D13" s="105">
        <v>60.991</v>
      </c>
      <c r="E13" s="105">
        <v>10</v>
      </c>
      <c r="F13" s="106">
        <v>210.99099999999999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Tabla parques</vt:lpstr>
      <vt:lpstr>Hoja1</vt:lpstr>
      <vt:lpstr>Factores</vt:lpstr>
      <vt:lpstr>Resumen </vt:lpstr>
      <vt:lpstr>Hoja3</vt:lpstr>
      <vt:lpstr>Factores!_Hlk72912004</vt:lpstr>
      <vt:lpstr>Factores!_Hlk72912511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Jaime Enrique Pesca Santos</cp:lastModifiedBy>
  <cp:revision>0</cp:revision>
  <dcterms:created xsi:type="dcterms:W3CDTF">2021-05-21T10:41:45Z</dcterms:created>
  <dcterms:modified xsi:type="dcterms:W3CDTF">2024-07-18T03:02:49Z</dcterms:modified>
</cp:coreProperties>
</file>